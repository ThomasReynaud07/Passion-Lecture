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k84vtk\Documents\"/>
    </mc:Choice>
  </mc:AlternateContent>
  <xr:revisionPtr revIDLastSave="0" documentId="13_ncr:1_{03866060-D5D4-4846-8A70-CDEFA96EA5F6}" xr6:coauthVersionLast="47" xr6:coauthVersionMax="47" xr10:uidLastSave="{00000000-0000-0000-0000-000000000000}"/>
  <bookViews>
    <workbookView xWindow="2985" yWindow="298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<sst xmlns="http://schemas.openxmlformats.org/spreadsheetml/2006/main" count="46" uniqueCount="36">
  <si>
    <t>Journal de travail</t>
  </si>
  <si>
    <t>Auteur: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</si>
  <si>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</si>
  <si>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</si>
  <si>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</si>
  <si>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</si>
  <si>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</si>
  <si>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</si>
  <si>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</si>
  <si>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</si>
  <si>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</si>
  <si>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</si>
  <si>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</si>
  <si>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</si>
  <si>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</si>
  <si>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</si>
  <si>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</si>
  <si>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</si>
  <si>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</si>
  <si>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</si>
  <si>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</si>
  <si>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</si>
  <si>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</si>
  <si>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</si>
  <si>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</si>
  <si>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</si>
  <si>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</si>
  <si>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</si>
  <si>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</si>
  <si>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</si>
  <si>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Passion lecture</t>
  </si>
  <si>
    <t>J'ai fais les backlogs pour le projet avec Ryan et Thomas</t>
  </si>
  <si>
    <t>J'ai fais le commit initial pour le quickstart de vue et j'ai supprimer quelques elements afin de commencer sur une base vierge.</t>
  </si>
  <si>
    <t>J'ai commencé les routes HTTP dans un bloc notes et j'ai fais validé mon avancement par le prof</t>
  </si>
  <si>
    <t>Le prof nous a expliqué le projet et nous a rendus les tests de Vue</t>
  </si>
  <si>
    <t>Reynaud Thomas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</si>
</sst>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25</c:v>
                </c:pt>
                <c:pt idx="1">
                  <c:v>150</c:v>
                </c:pt>
                <c:pt idx="2">
                  <c:v>0</c:v>
                </c:pt>
                <c:pt idx="3">
                  <c:v>50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0.1111111111111111</c:v>
                </c:pt>
                <c:pt idx="1">
                  <c:v>0.66666666666666663</c:v>
                </c:pt>
                <c:pt idx="2">
                  <c:v>0</c:v>
                </c:pt>
                <c:pt idx="3">
                  <c:v>0.22222222222222221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C2" sqref="C2:E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7" t="s">
        <v>1</v>
      </c>
      <c r="B2" s="87"/>
      <c r="C2" s="85" t="s">
        <v>35</v>
      </c>
      <c r="D2" s="85"/>
      <c r="E2" s="85"/>
      <c r="F2" s="5" t="s">
        <v>2</v>
      </c>
      <c r="G2" s="64" t="s">
        <v>30</v>
      </c>
    </row>
    <row r="3" spans="1:15" ht="23.25" x14ac:dyDescent="0.35">
      <c r="A3" s="87" t="s">
        <v>3</v>
      </c>
      <c r="B3" s="87"/>
      <c r="C3" s="67" t="str">
        <f>QUOTIENT(E4,60)&amp;" heures "&amp;MOD(E4,60)&amp;" minutes"</f>
        <v>3 heures 45 minutes</v>
      </c>
      <c r="D3" s="17"/>
      <c r="E3" s="3"/>
      <c r="F3" s="4" t="s">
        <v>4</v>
      </c>
      <c r="G3" s="65" t="s">
        <v>5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105</v>
      </c>
      <c r="E4" s="24">
        <f>SUM(C4:D4)</f>
        <v>225</v>
      </c>
      <c r="F4" s="4"/>
      <c r="G4" s="6"/>
    </row>
    <row r="5" spans="1:15" x14ac:dyDescent="0.25">
      <c r="C5" s="86" t="s">
        <v>6</v>
      </c>
      <c r="D5" s="86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7</v>
      </c>
      <c r="B7" s="26">
        <v>46063</v>
      </c>
      <c r="C7" s="27"/>
      <c r="D7" s="28">
        <v>50</v>
      </c>
      <c r="E7" s="29" t="s">
        <v>14</v>
      </c>
      <c r="F7" s="23" t="s">
        <v>31</v>
      </c>
      <c r="G7" s="38"/>
    </row>
    <row r="8" spans="1:15" ht="31.5" x14ac:dyDescent="0.25">
      <c r="A8" s="62" t="str">
        <f>IF(ISBLANK(B8),"",_xlfn.ISOWEEKNUM('Journal de travail'!$B8))</f>
        <v/>
      </c>
      <c r="B8" s="30"/>
      <c r="C8" s="31">
        <v>1</v>
      </c>
      <c r="D8" s="32">
        <v>30</v>
      </c>
      <c r="E8" s="33" t="s">
        <v>15</v>
      </c>
      <c r="F8" s="23" t="s">
        <v>32</v>
      </c>
      <c r="G8" s="39"/>
      <c r="M8" t="s">
        <v>16</v>
      </c>
      <c r="N8">
        <v>1</v>
      </c>
      <c r="O8">
        <v>0</v>
      </c>
    </row>
    <row r="9" spans="1:15" x14ac:dyDescent="0.25">
      <c r="A9" s="63" t="str">
        <f>IF(ISBLANK(B9),"",_xlfn.ISOWEEKNUM('Journal de travail'!$B9))</f>
        <v/>
      </c>
      <c r="B9" s="34"/>
      <c r="C9" s="35">
        <v>1</v>
      </c>
      <c r="D9" s="36"/>
      <c r="E9" s="37" t="s">
        <v>15</v>
      </c>
      <c r="F9" s="23" t="s">
        <v>33</v>
      </c>
      <c r="G9" s="40"/>
      <c r="M9" t="s">
        <v>15</v>
      </c>
      <c r="N9">
        <v>2</v>
      </c>
      <c r="O9">
        <v>5</v>
      </c>
    </row>
    <row r="10" spans="1:15" x14ac:dyDescent="0.25">
      <c r="A10" s="62" t="str">
        <f>IF(ISBLANK(B10),"",_xlfn.ISOWEEKNUM('Journal de travail'!$B10))</f>
        <v/>
      </c>
      <c r="B10" s="30"/>
      <c r="C10" s="31"/>
      <c r="D10" s="32">
        <v>25</v>
      </c>
      <c r="E10" s="33" t="s">
        <v>16</v>
      </c>
      <c r="F10" s="23" t="s">
        <v>34</v>
      </c>
      <c r="G10" s="39"/>
      <c r="M10" t="s">
        <v>17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14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84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25</v>
      </c>
      <c r="C6">
        <f t="shared" ref="C6:C10" si="0">SUM(A6:B6)</f>
        <v>25</v>
      </c>
      <c r="E6" s="70" t="str">
        <f>'Journal de travail'!M8</f>
        <v>Analyse</v>
      </c>
      <c r="F6" s="71" t="str">
        <f>QUOTIENT(SUM(A6:B6),60)&amp;" h "&amp;TEXT(MOD(SUM(A6:B6),60), "00")&amp;" min"</f>
        <v>0 h 25 min</v>
      </c>
      <c r="G6" s="72">
        <f>SUM(A6:B6)/$C$11</f>
        <v>0.1111111111111111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30</v>
      </c>
      <c r="C7">
        <f t="shared" si="0"/>
        <v>150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30 min</v>
      </c>
      <c r="G7" s="75">
        <f t="shared" ref="G7:G9" si="2">SUM(A7:B7)/$C$11</f>
        <v>0.66666666666666663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50</v>
      </c>
      <c r="C9">
        <f t="shared" si="0"/>
        <v>50</v>
      </c>
      <c r="E9" s="77" t="str">
        <f>'Journal de travail'!M11</f>
        <v>Documentation</v>
      </c>
      <c r="F9" s="74" t="str">
        <f t="shared" si="1"/>
        <v>0 h 50 min</v>
      </c>
      <c r="G9" s="75">
        <f t="shared" si="2"/>
        <v>0.22222222222222221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105</v>
      </c>
      <c r="C11">
        <f>SUM(A11:B11)</f>
        <v>225</v>
      </c>
      <c r="E11" s="81" t="s">
        <v>29</v>
      </c>
      <c r="F11" s="71" t="str">
        <f t="shared" si="1"/>
        <v>3 h 45 min</v>
      </c>
      <c r="G11" s="82">
        <f>C11/C12</f>
        <v>4.1666666666666664E-2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Reynaud</cp:lastModifiedBy>
  <cp:revision/>
  <dcterms:created xsi:type="dcterms:W3CDTF">2023-11-21T20:00:34Z</dcterms:created>
  <dcterms:modified xsi:type="dcterms:W3CDTF">2026-02-10T16:23:40Z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