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/>
  <mc:AlternateContent xmlns:mc="http://schemas.openxmlformats.org/markup-compatibility/2006">
    <mc:Choice Requires="x15">
      <x15ac:absPath xmlns:x15ac="http://schemas.microsoft.com/office/spreadsheetml/2010/11/ac" url="/Users/thomas/Documents/GitHub/Passion-Lecture/Doc/"/>
    </mc:Choice>
  </mc:AlternateContent>
  <xr:revisionPtr revIDLastSave="0" documentId="13_ncr:1_{0E8C8DCD-7C4E-AF45-8D2F-B257958D6D10}" xr6:coauthVersionLast="47" xr6:coauthVersionMax="47" xr10:uidLastSave="{00000000-0000-0000-0000-000000000000}"/>
  <bookViews>
    <workbookView xWindow="0" yWindow="78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<sst xmlns="http://schemas.openxmlformats.org/spreadsheetml/2006/main" count="89" uniqueCount="57">
  <si>
    <t>Journal de travail</t>
  </si>
  <si>
    <t>Auteur: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</si>
  <si>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</si>
  <si>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</si>
  <si>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</si>
  <si>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</si>
  <si>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</si>
  <si>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</si>
  <si>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</si>
  <si>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</si>
  <si>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</si>
  <si>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</si>
  <si>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</si>
  <si>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</si>
  <si>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</si>
  <si>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</si>
  <si>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</si>
  <si>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</si>
  <si>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</si>
  <si>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</si>
  <si>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</si>
  <si>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</si>
  <si>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</si>
  <si>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</si>
  <si>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</si>
  <si>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</si>
  <si>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</si>
  <si>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</si>
  <si>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</si>
  <si>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</si>
  <si>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Passion lecture</t>
  </si>
  <si>
    <t>J'ai fais les backlogs pour le projet avec Ryan et Thomas</t>
  </si>
  <si>
    <t>J'ai fais le commit initial pour le quickstart de vue et j'ai supprimer quelques elements afin de commencer sur une base vierge.</t>
  </si>
  <si>
    <t>J'ai commencé les routes HTTP dans un bloc notes et j'ai fais validé mon avancement par le prof</t>
  </si>
  <si>
    <t>Le prof nous a expliqué le projet et nous a rendus les tests de Vue</t>
  </si>
  <si>
    <t>Reynaud Thomas</t>
  </si>
  <si>
    <t>J'ai fais et terminé l'UI de la page d'accueil</t>
  </si>
  <si>
    <t>J'ai rajouté des routes HTTP et montré aux profs.</t>
  </si>
  <si>
    <t>J'ai commencé a faire les routes ainsi que des test pour faire la page détails</t>
  </si>
  <si>
    <t>J'ai relié mon fichier .json test avec les 5 derniers ouvrages.</t>
  </si>
  <si>
    <t>J'ai fais des changement dans les branches et je me suis mis sur ma propre branche afin de ne pas avoir d'influence sur la branche main. Mais il y avait des problèmes de conflit de versions</t>
  </si>
  <si>
    <t>Le prof est venu nous voir afin de determiner notre avancement dans le projet et ils nous a corrigés sur quelques points mal executés</t>
  </si>
  <si>
    <t>J'ai implementé la feature Login et Signin en fictif car nous n'avons pas de vrai backend. J'ai fais toutes les routes et l'IA m'a aidé pour le CSS.</t>
  </si>
  <si>
    <t>J'ai régler un problèmes qu'il y avait avec la page des derniers ouvrages et la page details</t>
  </si>
  <si>
    <t>J'ai commencé a faire la pages details mais depuis le catalogue pour avoir le details des livres depuis la page catalogue.</t>
  </si>
  <si>
    <t>J'ai finaliser la pages details depuis catalogue, j'ai du implementer un nouveau props qui change le router link</t>
  </si>
  <si>
    <t>J'ai fix le CSS de certaines pages car il y avait des bugs d'affichages</t>
  </si>
  <si>
    <t>Le prof nous a expliqué comment fonctionnait les routes etc avec services.json</t>
  </si>
  <si>
    <t>J'ai remplis mon JDT car je ne l'avais pas fais et j'ai effecué mes commits</t>
  </si>
  <si>
    <t>Nous avons ensemble analyser notre code et nous avons trouver le problème qui bloquait déjà hier. Et nous avons réussi a reafficher les livres dynamiquement.</t>
  </si>
  <si>
    <t>J'ai ajouté le html + le CSS pour les ajout de commentaires</t>
  </si>
  <si>
    <t>J'ai commencé a faire la route pour l'ajout des commentaires et j'ai changé le .json pour que ça marche</t>
  </si>
  <si>
    <t xml:space="preserve">Révision pour le test pratique. </t>
  </si>
  <si>
    <t>Test Pratique Vue.js</t>
  </si>
  <si>
    <t>J'ai rajouté les notes aux livres depuis la page d'accueil quand on regarde les derniers ajouts.</t>
  </si>
  <si>
    <t>J'ai implémenté la page dashboard pour les utilisateurs (en l'occurence le user 1). Les livres créer par ce dernier y sont citer, et j'ai lier l'email dans l'accueil aussi.</t>
  </si>
  <si>
    <t>J'ai complémenté le rapport en faisant ma conclusion perso et en rajoutant certains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</si>
</sst>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140</c:v>
                </c:pt>
                <c:pt idx="1">
                  <c:v>910</c:v>
                </c:pt>
                <c:pt idx="2">
                  <c:v>225</c:v>
                </c:pt>
                <c:pt idx="3">
                  <c:v>120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8.6419753086419748E-2</c:v>
                </c:pt>
                <c:pt idx="1">
                  <c:v>0.56172839506172845</c:v>
                </c:pt>
                <c:pt idx="2">
                  <c:v>0.1388888888888889</c:v>
                </c:pt>
                <c:pt idx="3">
                  <c:v>7.407407407407407E-2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18" activePane="bottomLeft" state="frozen"/>
      <selection pane="bottomLeft" activeCell="F36" sqref="F36"/>
    </sheetView>
  </sheetViews>
  <sheetFormatPr baseColWidth="10" defaultColWidth="11" defaultRowHeight="16" x14ac:dyDescent="0.2"/>
  <cols>
    <col min="1" max="1" width="14.5" style="7" bestFit="1" customWidth="1"/>
    <col min="2" max="2" width="11.83203125" style="1" customWidth="1"/>
    <col min="3" max="3" width="12.1640625" style="2" bestFit="1" customWidth="1"/>
    <col min="4" max="4" width="10.5" style="2" bestFit="1" customWidth="1"/>
    <col min="5" max="5" width="14.1640625" bestFit="1" customWidth="1"/>
    <col min="6" max="6" width="83.5" customWidth="1"/>
    <col min="7" max="7" width="72.1640625" customWidth="1"/>
    <col min="10" max="10" width="7.1640625" bestFit="1" customWidth="1"/>
    <col min="11" max="11" width="13.83203125" bestFit="1" customWidth="1"/>
    <col min="12" max="12" width="4.1640625" bestFit="1" customWidth="1"/>
    <col min="13" max="13" width="14.33203125" hidden="1" customWidth="1"/>
    <col min="14" max="14" width="4.6640625" hidden="1" customWidth="1"/>
    <col min="15" max="15" width="7.6640625" hidden="1" customWidth="1"/>
  </cols>
  <sheetData>
    <row r="1" spans="1:15" ht="24" x14ac:dyDescent="0.3">
      <c r="A1" s="8"/>
      <c r="B1" s="9"/>
      <c r="C1" s="10"/>
      <c r="D1" s="10"/>
      <c r="E1" s="11"/>
      <c r="F1" s="12" t="s">
        <v>0</v>
      </c>
      <c r="G1" s="11"/>
    </row>
    <row r="2" spans="1:15" ht="24" x14ac:dyDescent="0.3">
      <c r="A2" s="87" t="s">
        <v>1</v>
      </c>
      <c r="B2" s="87"/>
      <c r="C2" s="85" t="s">
        <v>35</v>
      </c>
      <c r="D2" s="85"/>
      <c r="E2" s="85"/>
      <c r="F2" s="5" t="s">
        <v>2</v>
      </c>
      <c r="G2" s="64" t="s">
        <v>30</v>
      </c>
    </row>
    <row r="3" spans="1:15" ht="24" x14ac:dyDescent="0.3">
      <c r="A3" s="87" t="s">
        <v>3</v>
      </c>
      <c r="B3" s="87"/>
      <c r="C3" s="67" t="str">
        <f>QUOTIENT(E4,60)&amp;" heures "&amp;MOD(E4,60)&amp;" minutes"</f>
        <v>27 heures 0 minutes</v>
      </c>
      <c r="D3" s="17"/>
      <c r="E3" s="3"/>
      <c r="F3" s="4" t="s">
        <v>4</v>
      </c>
      <c r="G3" s="65" t="s">
        <v>5</v>
      </c>
    </row>
    <row r="4" spans="1:15" ht="24" hidden="1" x14ac:dyDescent="0.3">
      <c r="B4" s="5"/>
      <c r="C4" s="17">
        <f>SUBTOTAL(9,$C$7:$C$531)*60</f>
        <v>900</v>
      </c>
      <c r="D4" s="17">
        <f>SUBTOTAL(9,$D$7:$D$531)</f>
        <v>720</v>
      </c>
      <c r="E4" s="24">
        <f>SUM(C4:D4)</f>
        <v>1620</v>
      </c>
      <c r="F4" s="4"/>
      <c r="G4" s="6"/>
    </row>
    <row r="5" spans="1:15" x14ac:dyDescent="0.2">
      <c r="C5" s="86" t="s">
        <v>6</v>
      </c>
      <c r="D5" s="86"/>
    </row>
    <row r="6" spans="1:15" s="15" customFormat="1" ht="20" customHeight="1" x14ac:dyDescent="0.25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ht="17" x14ac:dyDescent="0.2">
      <c r="A7" s="61">
        <f>IF(ISBLANK(B7),"",_xlfn.ISOWEEKNUM('Journal de travail'!$B7))</f>
        <v>7</v>
      </c>
      <c r="B7" s="26">
        <v>46063</v>
      </c>
      <c r="C7" s="27"/>
      <c r="D7" s="28">
        <v>50</v>
      </c>
      <c r="E7" s="29" t="s">
        <v>14</v>
      </c>
      <c r="F7" s="23" t="s">
        <v>31</v>
      </c>
      <c r="G7" s="38"/>
    </row>
    <row r="8" spans="1:15" ht="34" x14ac:dyDescent="0.2">
      <c r="A8" s="62" t="str">
        <f>IF(ISBLANK(B8),"",_xlfn.ISOWEEKNUM('Journal de travail'!$B8))</f>
        <v/>
      </c>
      <c r="B8" s="30"/>
      <c r="C8" s="31">
        <v>1</v>
      </c>
      <c r="D8" s="32">
        <v>30</v>
      </c>
      <c r="E8" s="33" t="s">
        <v>15</v>
      </c>
      <c r="F8" s="23" t="s">
        <v>32</v>
      </c>
      <c r="G8" s="39"/>
      <c r="M8" t="s">
        <v>16</v>
      </c>
      <c r="N8">
        <v>1</v>
      </c>
      <c r="O8">
        <v>0</v>
      </c>
    </row>
    <row r="9" spans="1:15" ht="17" x14ac:dyDescent="0.2">
      <c r="A9" s="63" t="str">
        <f>IF(ISBLANK(B9),"",_xlfn.ISOWEEKNUM('Journal de travail'!$B9))</f>
        <v/>
      </c>
      <c r="B9" s="34"/>
      <c r="C9" s="35">
        <v>1</v>
      </c>
      <c r="D9" s="36"/>
      <c r="E9" s="37" t="s">
        <v>15</v>
      </c>
      <c r="F9" s="23" t="s">
        <v>33</v>
      </c>
      <c r="G9" s="40"/>
      <c r="M9" t="s">
        <v>15</v>
      </c>
      <c r="N9">
        <v>2</v>
      </c>
      <c r="O9">
        <v>5</v>
      </c>
    </row>
    <row r="10" spans="1:15" ht="17" x14ac:dyDescent="0.2">
      <c r="A10" s="62" t="str">
        <f>IF(ISBLANK(B10),"",_xlfn.ISOWEEKNUM('Journal de travail'!$B10))</f>
        <v/>
      </c>
      <c r="B10" s="30"/>
      <c r="C10" s="31"/>
      <c r="D10" s="32">
        <v>25</v>
      </c>
      <c r="E10" s="33" t="s">
        <v>16</v>
      </c>
      <c r="F10" s="23" t="s">
        <v>34</v>
      </c>
      <c r="G10" s="39"/>
      <c r="M10" t="s">
        <v>17</v>
      </c>
      <c r="N10">
        <v>3</v>
      </c>
      <c r="O10">
        <v>10</v>
      </c>
    </row>
    <row r="11" spans="1:15" ht="17" x14ac:dyDescent="0.2">
      <c r="A11" s="63">
        <f>IF(ISBLANK(B11),"",_xlfn.ISOWEEKNUM('Journal de travail'!$B11))</f>
        <v>7</v>
      </c>
      <c r="B11" s="34">
        <v>46064</v>
      </c>
      <c r="C11" s="35">
        <v>1</v>
      </c>
      <c r="D11" s="36"/>
      <c r="E11" s="37" t="s">
        <v>15</v>
      </c>
      <c r="F11" s="23" t="s">
        <v>36</v>
      </c>
      <c r="G11" s="40"/>
      <c r="M11" t="s">
        <v>14</v>
      </c>
      <c r="N11">
        <v>4</v>
      </c>
      <c r="O11">
        <v>15</v>
      </c>
    </row>
    <row r="12" spans="1:15" ht="17" x14ac:dyDescent="0.2">
      <c r="A12" s="62" t="str">
        <f>IF(ISBLANK(B12),"",_xlfn.ISOWEEKNUM('Journal de travail'!$B12))</f>
        <v/>
      </c>
      <c r="B12" s="30"/>
      <c r="C12" s="31"/>
      <c r="D12" s="32">
        <v>20</v>
      </c>
      <c r="E12" s="33" t="s">
        <v>14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ht="17" x14ac:dyDescent="0.2">
      <c r="A13" s="63" t="str">
        <f>IF(ISBLANK(B13),"",_xlfn.ISOWEEKNUM('Journal de travail'!$B13))</f>
        <v/>
      </c>
      <c r="B13" s="34"/>
      <c r="C13" s="35">
        <v>1</v>
      </c>
      <c r="D13" s="36">
        <v>10</v>
      </c>
      <c r="E13" s="37" t="s">
        <v>15</v>
      </c>
      <c r="F13" s="23" t="s">
        <v>38</v>
      </c>
      <c r="G13" s="40"/>
      <c r="N13">
        <v>6</v>
      </c>
      <c r="O13">
        <v>25</v>
      </c>
    </row>
    <row r="14" spans="1:15" ht="17" x14ac:dyDescent="0.2">
      <c r="A14" s="62" t="str">
        <f>IF(ISBLANK(B14),"",_xlfn.ISOWEEKNUM('Journal de travail'!$B14))</f>
        <v/>
      </c>
      <c r="B14" s="30"/>
      <c r="C14" s="31"/>
      <c r="D14" s="32">
        <v>30</v>
      </c>
      <c r="E14" s="33" t="s">
        <v>15</v>
      </c>
      <c r="F14" s="23" t="s">
        <v>39</v>
      </c>
      <c r="G14" s="39"/>
      <c r="N14">
        <v>7</v>
      </c>
      <c r="O14">
        <v>30</v>
      </c>
    </row>
    <row r="15" spans="1:15" ht="34" x14ac:dyDescent="0.2">
      <c r="A15" s="63">
        <f>IF(ISBLANK(B15),"",_xlfn.ISOWEEKNUM('Journal de travail'!$B15))</f>
        <v>9</v>
      </c>
      <c r="B15" s="34">
        <v>46077</v>
      </c>
      <c r="C15" s="35"/>
      <c r="D15" s="36">
        <v>30</v>
      </c>
      <c r="E15" s="37" t="s">
        <v>16</v>
      </c>
      <c r="F15" s="23" t="s">
        <v>40</v>
      </c>
      <c r="G15" s="40"/>
      <c r="N15">
        <v>8</v>
      </c>
      <c r="O15">
        <v>35</v>
      </c>
    </row>
    <row r="16" spans="1:15" ht="34" x14ac:dyDescent="0.2">
      <c r="A16" s="62" t="str">
        <f>IF(ISBLANK(B16),"",_xlfn.ISOWEEKNUM('Journal de travail'!$B16))</f>
        <v/>
      </c>
      <c r="B16" s="30"/>
      <c r="C16" s="31"/>
      <c r="D16" s="32">
        <v>20</v>
      </c>
      <c r="E16" s="33" t="s">
        <v>16</v>
      </c>
      <c r="F16" s="23" t="s">
        <v>41</v>
      </c>
      <c r="G16" s="39"/>
      <c r="O16">
        <v>40</v>
      </c>
    </row>
    <row r="17" spans="1:15" ht="34" x14ac:dyDescent="0.2">
      <c r="A17" s="63" t="str">
        <f>IF(ISBLANK(B17),"",_xlfn.ISOWEEKNUM('Journal de travail'!$B17))</f>
        <v/>
      </c>
      <c r="B17" s="34"/>
      <c r="C17" s="35">
        <v>1</v>
      </c>
      <c r="D17" s="36">
        <v>45</v>
      </c>
      <c r="E17" s="37" t="s">
        <v>15</v>
      </c>
      <c r="F17" s="23" t="s">
        <v>42</v>
      </c>
      <c r="G17" s="40"/>
      <c r="O17">
        <v>45</v>
      </c>
    </row>
    <row r="18" spans="1:15" ht="34" x14ac:dyDescent="0.2">
      <c r="A18" s="62" t="str">
        <f>IF(ISBLANK(B18),"",_xlfn.ISOWEEKNUM('Journal de travail'!$B18))</f>
        <v/>
      </c>
      <c r="B18" s="30"/>
      <c r="C18" s="31"/>
      <c r="D18" s="32">
        <v>25</v>
      </c>
      <c r="E18" s="33" t="s">
        <v>15</v>
      </c>
      <c r="F18" s="84" t="s">
        <v>43</v>
      </c>
      <c r="G18" s="39"/>
      <c r="O18">
        <v>50</v>
      </c>
    </row>
    <row r="19" spans="1:15" ht="34" x14ac:dyDescent="0.2">
      <c r="A19" s="63" t="str">
        <f>IF(ISBLANK(B19),"",_xlfn.ISOWEEKNUM('Journal de travail'!$B19))</f>
        <v/>
      </c>
      <c r="B19" s="34"/>
      <c r="C19" s="35"/>
      <c r="D19" s="36">
        <v>45</v>
      </c>
      <c r="E19" s="37" t="s">
        <v>15</v>
      </c>
      <c r="F19" s="23" t="s">
        <v>44</v>
      </c>
      <c r="G19" s="40"/>
      <c r="O19">
        <v>55</v>
      </c>
    </row>
    <row r="20" spans="1:15" ht="34" x14ac:dyDescent="0.2">
      <c r="A20" s="62" t="str">
        <f>IF(ISBLANK(B20),"",_xlfn.ISOWEEKNUM('Journal de travail'!$B20))</f>
        <v/>
      </c>
      <c r="B20" s="30"/>
      <c r="C20" s="31">
        <v>1</v>
      </c>
      <c r="D20" s="32">
        <v>45</v>
      </c>
      <c r="E20" s="33" t="s">
        <v>15</v>
      </c>
      <c r="F20" s="23" t="s">
        <v>45</v>
      </c>
      <c r="G20" s="39"/>
    </row>
    <row r="21" spans="1:15" ht="17" x14ac:dyDescent="0.2">
      <c r="A21" s="63" t="str">
        <f>IF(ISBLANK(B21),"",_xlfn.ISOWEEKNUM('Journal de travail'!$B21))</f>
        <v/>
      </c>
      <c r="B21" s="34"/>
      <c r="C21" s="35"/>
      <c r="D21" s="36">
        <v>45</v>
      </c>
      <c r="E21" s="37" t="s">
        <v>15</v>
      </c>
      <c r="F21" s="23" t="s">
        <v>46</v>
      </c>
      <c r="G21" s="40"/>
    </row>
    <row r="22" spans="1:15" ht="17" x14ac:dyDescent="0.2">
      <c r="A22" s="62" t="str">
        <f>IF(ISBLANK(B22),"",_xlfn.ISOWEEKNUM('Journal de travail'!$B22))</f>
        <v/>
      </c>
      <c r="B22" s="30"/>
      <c r="C22" s="31"/>
      <c r="D22" s="32">
        <v>20</v>
      </c>
      <c r="E22" s="33" t="s">
        <v>16</v>
      </c>
      <c r="F22" s="23" t="s">
        <v>47</v>
      </c>
      <c r="G22" s="39"/>
    </row>
    <row r="23" spans="1:15" ht="17" x14ac:dyDescent="0.2">
      <c r="A23" s="63" t="str">
        <f>IF(ISBLANK(B23),"",_xlfn.ISOWEEKNUM('Journal de travail'!$B23))</f>
        <v/>
      </c>
      <c r="B23" s="34"/>
      <c r="C23" s="35"/>
      <c r="D23" s="36">
        <v>10</v>
      </c>
      <c r="E23" s="37" t="s">
        <v>15</v>
      </c>
      <c r="F23" s="23" t="s">
        <v>48</v>
      </c>
      <c r="G23" s="40"/>
    </row>
    <row r="24" spans="1:15" x14ac:dyDescent="0.2">
      <c r="A24" s="62">
        <f>IF(ISBLANK(B24),"",_xlfn.ISOWEEKNUM('Journal de travail'!$B24))</f>
        <v>10</v>
      </c>
      <c r="B24" s="30">
        <v>46084</v>
      </c>
      <c r="C24" s="31">
        <v>3</v>
      </c>
      <c r="D24" s="32">
        <v>45</v>
      </c>
      <c r="E24" s="33" t="s">
        <v>18</v>
      </c>
      <c r="F24" s="23"/>
      <c r="G24" s="39"/>
    </row>
    <row r="25" spans="1:15" ht="34" x14ac:dyDescent="0.2">
      <c r="A25" s="63">
        <f>IF(ISBLANK(B25),"",_xlfn.ISOWEEKNUM('Journal de travail'!$B25))</f>
        <v>10</v>
      </c>
      <c r="B25" s="34">
        <v>46085</v>
      </c>
      <c r="C25" s="35">
        <v>1</v>
      </c>
      <c r="D25" s="36">
        <v>30</v>
      </c>
      <c r="E25" s="37" t="s">
        <v>15</v>
      </c>
      <c r="F25" s="23" t="s">
        <v>49</v>
      </c>
      <c r="G25" s="40"/>
    </row>
    <row r="26" spans="1:15" ht="17" x14ac:dyDescent="0.2">
      <c r="A26" s="62" t="str">
        <f>IF(ISBLANK(B26),"",_xlfn.ISOWEEKNUM('Journal de travail'!$B26))</f>
        <v/>
      </c>
      <c r="B26" s="30"/>
      <c r="C26" s="31"/>
      <c r="D26" s="32">
        <v>45</v>
      </c>
      <c r="E26" s="33" t="s">
        <v>15</v>
      </c>
      <c r="F26" s="23" t="s">
        <v>50</v>
      </c>
      <c r="G26" s="39"/>
    </row>
    <row r="27" spans="1:15" ht="34" x14ac:dyDescent="0.2">
      <c r="A27" s="63" t="str">
        <f>IF(ISBLANK(B27),"",_xlfn.ISOWEEKNUM('Journal de travail'!$B27))</f>
        <v/>
      </c>
      <c r="B27" s="34"/>
      <c r="C27" s="35"/>
      <c r="D27" s="36">
        <v>45</v>
      </c>
      <c r="E27" s="37" t="s">
        <v>16</v>
      </c>
      <c r="F27" s="23" t="s">
        <v>51</v>
      </c>
      <c r="G27" s="40"/>
    </row>
    <row r="28" spans="1:15" x14ac:dyDescent="0.2">
      <c r="A28" s="62">
        <f>IF(ISBLANK(B28),"",_xlfn.ISOWEEKNUM('Journal de travail'!$B28))</f>
        <v>11</v>
      </c>
      <c r="B28" s="30">
        <v>46091</v>
      </c>
      <c r="C28" s="31"/>
      <c r="D28" s="32">
        <v>45</v>
      </c>
      <c r="E28" s="33" t="s">
        <v>17</v>
      </c>
      <c r="F28" s="22" t="s">
        <v>52</v>
      </c>
      <c r="G28" s="39"/>
    </row>
    <row r="29" spans="1:15" x14ac:dyDescent="0.2">
      <c r="A29" s="63" t="str">
        <f>IF(ISBLANK(B29),"",_xlfn.ISOWEEKNUM('Journal de travail'!$B29))</f>
        <v/>
      </c>
      <c r="B29" s="34"/>
      <c r="C29" s="35">
        <v>3</v>
      </c>
      <c r="D29" s="36"/>
      <c r="E29" s="37" t="s">
        <v>17</v>
      </c>
      <c r="F29" s="22" t="s">
        <v>53</v>
      </c>
      <c r="G29" s="40"/>
    </row>
    <row r="30" spans="1:15" ht="17" x14ac:dyDescent="0.2">
      <c r="A30" s="62">
        <f>IF(ISBLANK(B30),"",_xlfn.ISOWEEKNUM('Journal de travail'!$B30))</f>
        <v>11</v>
      </c>
      <c r="B30" s="30">
        <v>46092</v>
      </c>
      <c r="C30" s="31">
        <v>1</v>
      </c>
      <c r="D30" s="32">
        <v>10</v>
      </c>
      <c r="E30" s="33" t="s">
        <v>15</v>
      </c>
      <c r="F30" s="23" t="s">
        <v>54</v>
      </c>
      <c r="G30" s="39"/>
    </row>
    <row r="31" spans="1:15" x14ac:dyDescent="0.2">
      <c r="A31" s="63" t="str">
        <f>IF(ISBLANK(B31),"",_xlfn.ISOWEEKNUM('Journal de travail'!$B31))</f>
        <v/>
      </c>
      <c r="B31" s="34"/>
      <c r="C31" s="35">
        <v>1</v>
      </c>
      <c r="D31" s="36"/>
      <c r="E31" s="37" t="s">
        <v>15</v>
      </c>
      <c r="F31" s="22" t="s">
        <v>55</v>
      </c>
      <c r="G31" s="40"/>
    </row>
    <row r="32" spans="1:15" ht="17" x14ac:dyDescent="0.2">
      <c r="A32" s="62" t="str">
        <f>IF(ISBLANK(B32),"",_xlfn.ISOWEEKNUM('Journal de travail'!$B32))</f>
        <v/>
      </c>
      <c r="B32" s="30"/>
      <c r="C32" s="31"/>
      <c r="D32" s="32">
        <v>50</v>
      </c>
      <c r="E32" s="33" t="s">
        <v>14</v>
      </c>
      <c r="F32" s="23" t="s">
        <v>56</v>
      </c>
      <c r="G32" s="39"/>
    </row>
    <row r="33" spans="1:7" x14ac:dyDescent="0.2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9" x14ac:dyDescent="0.25"/>
  <cols>
    <col min="1" max="3" width="10.83203125" hidden="1" customWidth="1"/>
    <col min="4" max="4" width="10.8320312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3203125" bestFit="1" customWidth="1"/>
    <col min="14" max="14" width="9.33203125" bestFit="1" customWidth="1"/>
  </cols>
  <sheetData>
    <row r="2" spans="1:14" ht="21" x14ac:dyDescent="0.2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25">
      <c r="L3" s="19"/>
      <c r="M3" s="20"/>
      <c r="N3" s="19"/>
    </row>
    <row r="4" spans="1:14" ht="21" x14ac:dyDescent="0.25">
      <c r="E4" s="66" t="s">
        <v>21</v>
      </c>
      <c r="L4" s="66" t="s">
        <v>22</v>
      </c>
      <c r="M4" s="41"/>
      <c r="N4" s="19"/>
    </row>
    <row r="5" spans="1:14" x14ac:dyDescent="0.25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25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140</v>
      </c>
      <c r="C6">
        <f t="shared" ref="C6:C10" si="0">SUM(A6:B6)</f>
        <v>140</v>
      </c>
      <c r="E6" s="70" t="str">
        <f>'Journal de travail'!M8</f>
        <v>Analyse</v>
      </c>
      <c r="F6" s="71" t="str">
        <f>QUOTIENT(SUM(A6:B6),60)&amp;" h "&amp;TEXT(MOD(SUM(A6:B6),60), "00")&amp;" min"</f>
        <v>2 h 20 min</v>
      </c>
      <c r="G6" s="72">
        <f>SUM(A6:B6)/$C$11</f>
        <v>8.6419753086419748E-2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25">
      <c r="A7">
        <f>SUMIF('Journal de travail'!$E$7:$E$532,Plannification!E7,'Journal de travail'!$C$7:$C$532)*60</f>
        <v>540</v>
      </c>
      <c r="B7">
        <f>SUMIF('Journal de travail'!$E$7:$E$532,Plannification!E7,'Journal de travail'!$D$7:$D$532)</f>
        <v>370</v>
      </c>
      <c r="C7">
        <f t="shared" si="0"/>
        <v>910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15 h 10 min</v>
      </c>
      <c r="G7" s="75">
        <f t="shared" ref="G7:G9" si="2">SUM(A7:B7)/$C$11</f>
        <v>0.56172839506172845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25">
      <c r="A8">
        <f>SUMIF('Journal de travail'!$E$7:$E$532,Plannification!E8,'Journal de travail'!$C$7:$C$532)*60</f>
        <v>180</v>
      </c>
      <c r="B8">
        <f>SUMIF('Journal de travail'!$E$7:$E$532,Plannification!E8,'Journal de travail'!$D$7:$D$532)</f>
        <v>45</v>
      </c>
      <c r="C8">
        <f t="shared" si="0"/>
        <v>225</v>
      </c>
      <c r="E8" s="76" t="str">
        <f>'Journal de travail'!M10</f>
        <v>Test</v>
      </c>
      <c r="F8" s="71" t="str">
        <f t="shared" si="1"/>
        <v>3 h 45 min</v>
      </c>
      <c r="G8" s="72">
        <f t="shared" si="2"/>
        <v>0.1388888888888889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25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120</v>
      </c>
      <c r="C9">
        <f t="shared" si="0"/>
        <v>120</v>
      </c>
      <c r="E9" s="77" t="str">
        <f>'Journal de travail'!M11</f>
        <v>Documentation</v>
      </c>
      <c r="F9" s="74" t="str">
        <f t="shared" si="1"/>
        <v>2 h 00 min</v>
      </c>
      <c r="G9" s="75">
        <f t="shared" si="2"/>
        <v>7.407407407407407E-2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25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18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0.1388888888888889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25">
      <c r="A11">
        <f>SUM(A6:A10)</f>
        <v>900</v>
      </c>
      <c r="B11">
        <f>SUM(B6:B10)</f>
        <v>720</v>
      </c>
      <c r="C11">
        <f>SUM(A11:B11)</f>
        <v>1620</v>
      </c>
      <c r="E11" s="81" t="s">
        <v>29</v>
      </c>
      <c r="F11" s="71" t="str">
        <f t="shared" si="1"/>
        <v>27 h 00 min</v>
      </c>
      <c r="G11" s="82">
        <f>C11/C12</f>
        <v>0.3</v>
      </c>
      <c r="L11" s="56" t="s">
        <v>29</v>
      </c>
      <c r="M11" s="57"/>
      <c r="N11" s="60">
        <f>SUM(N6:N10)</f>
        <v>1</v>
      </c>
    </row>
    <row r="12" spans="1:14" x14ac:dyDescent="0.25">
      <c r="C12">
        <f>F2*60</f>
        <v>5400</v>
      </c>
    </row>
    <row r="13" spans="1:14" x14ac:dyDescent="0.25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6" x14ac:dyDescent="0.2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Reynaud</cp:lastModifiedBy>
  <cp:revision/>
  <dcterms:created xsi:type="dcterms:W3CDTF">2023-11-21T20:00:34Z</dcterms:created>
  <dcterms:modified xsi:type="dcterms:W3CDTF">2026-03-11T10:12:05Z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