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D:\Module 294\Projet Passion lecture\"/>
    </mc:Choice>
  </mc:AlternateContent>
  <xr:revisionPtr revIDLastSave="0" documentId="13_ncr:1_{A91D9288-4C2D-4E19-9C1B-B320A36DB3A6}" xr6:coauthVersionLast="47" xr6:coauthVersionMax="47" xr10:uidLastSave="{00000000-0000-0000-0000-000000000000}"/>
  <bookViews>
    <workbookView xWindow="780" yWindow="78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<sst xmlns="http://schemas.openxmlformats.org/spreadsheetml/2006/main" count="82" uniqueCount="51">
  <si>
    <t>Journal de travail</t>
  </si>
  <si>
    <t>Auteur:</t>
  </si>
  <si>
    <t>Peltier Thomas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</si>
  <si>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</si>
  <si>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</si>
  <si>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</si>
  <si>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</si>
  <si>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</si>
  <si>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</si>
  <si>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</si>
  <si>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</si>
  <si>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</si>
  <si>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</si>
  <si>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</si>
  <si>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</si>
  <si>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</si>
  <si>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</si>
  <si>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</si>
  <si>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</si>
  <si>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</si>
  <si>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</si>
  <si>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</si>
  <si>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</si>
  <si>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</si>
  <si>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</si>
  <si>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</si>
  <si>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</si>
  <si>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</si>
  <si>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</si>
  <si>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</si>
  <si>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</si>
  <si>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J'ai fais les backlogs pour le projet</t>
  </si>
  <si>
    <t>J'ai presque fini les maquettes sur figma</t>
  </si>
  <si>
    <t>Passion lecture</t>
  </si>
  <si>
    <t>écoute des consigne du prof</t>
  </si>
  <si>
    <t>J'ai fini la maquette du projet</t>
  </si>
  <si>
    <t>J'ai due changer la maquette en fonction des sugjestion de l'enseignant</t>
  </si>
  <si>
    <t>J'ai commencé le Rapport</t>
  </si>
  <si>
    <t>J'ai continuer le rapport avec les descriptions des pages</t>
  </si>
  <si>
    <t>Revue du projet avec le prof</t>
  </si>
  <si>
    <t>J'ai commencé la partie planif du rapport</t>
  </si>
  <si>
    <t>J'ai fais les pages connexion et création de compte et de mot de passe oublié pour la maquette car je les avais oubliées</t>
  </si>
  <si>
    <t>J'ai continuer le rapport</t>
  </si>
  <si>
    <t>J'ai ajouter un footer au site avec le lien vers la page contact et info</t>
  </si>
  <si>
    <t>J'ai commencer a créer les fichier pour la page contact</t>
  </si>
  <si>
    <t>J'ai ajouter la page contact et info</t>
  </si>
  <si>
    <t>écoute des consigne du prof pour le test</t>
  </si>
  <si>
    <t>J'ai mis en place mon environnement et j'ai rencontrer des erreurs mais je les ai résolut</t>
  </si>
  <si>
    <t>J'ai ajouter la page Modification</t>
  </si>
  <si>
    <t>J'ai ajouter la fonctionnalité de suppression d'un ouvrage</t>
  </si>
  <si>
    <t>J'ai ajouter la fonctionnalité de modification des ouvrages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</si>
</sst>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95</c:v>
                </c:pt>
                <c:pt idx="1">
                  <c:v>365</c:v>
                </c:pt>
                <c:pt idx="2">
                  <c:v>20</c:v>
                </c:pt>
                <c:pt idx="3">
                  <c:v>555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9.1787439613526575E-2</c:v>
                </c:pt>
                <c:pt idx="1">
                  <c:v>0.35265700483091789</c:v>
                </c:pt>
                <c:pt idx="2">
                  <c:v>1.932367149758454E-2</c:v>
                </c:pt>
                <c:pt idx="3">
                  <c:v>0.53623188405797106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18" activePane="bottomLeft" state="frozen"/>
      <selection pane="bottomLeft" activeCell="F31" sqref="F3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7" t="s">
        <v>1</v>
      </c>
      <c r="B2" s="87"/>
      <c r="C2" s="85" t="s">
        <v>2</v>
      </c>
      <c r="D2" s="85"/>
      <c r="E2" s="85"/>
      <c r="F2" s="5" t="s">
        <v>3</v>
      </c>
      <c r="G2" s="64" t="s">
        <v>33</v>
      </c>
    </row>
    <row r="3" spans="1:15" ht="23.25" x14ac:dyDescent="0.35">
      <c r="A3" s="87" t="s">
        <v>4</v>
      </c>
      <c r="B3" s="87"/>
      <c r="C3" s="67" t="str">
        <f>QUOTIENT(E4,60)&amp;" heures "&amp;MOD(E4,60)&amp;" minutes"</f>
        <v>17 heures 15 minutes</v>
      </c>
      <c r="D3" s="17"/>
      <c r="E3" s="3"/>
      <c r="F3" s="4" t="s">
        <v>5</v>
      </c>
      <c r="G3" s="65" t="s">
        <v>6</v>
      </c>
    </row>
    <row r="4" spans="1:15" ht="23.25" hidden="1" x14ac:dyDescent="0.35">
      <c r="B4" s="5"/>
      <c r="C4" s="17">
        <f>SUBTOTAL(9,$C$7:$C$531)*60</f>
        <v>600</v>
      </c>
      <c r="D4" s="17">
        <f>SUBTOTAL(9,$D$7:$D$531)</f>
        <v>435</v>
      </c>
      <c r="E4" s="24">
        <f>SUM(C4:D4)</f>
        <v>1035</v>
      </c>
      <c r="F4" s="4"/>
      <c r="G4" s="6"/>
    </row>
    <row r="5" spans="1:15" x14ac:dyDescent="0.25">
      <c r="C5" s="86" t="s">
        <v>7</v>
      </c>
      <c r="D5" s="86"/>
    </row>
    <row r="6" spans="1:15" s="15" customFormat="1" ht="20.100000000000001" customHeight="1" x14ac:dyDescent="0.3">
      <c r="A6" s="13" t="s">
        <v>8</v>
      </c>
      <c r="B6" s="21" t="s">
        <v>9</v>
      </c>
      <c r="C6" s="25" t="s">
        <v>10</v>
      </c>
      <c r="D6" s="16" t="s">
        <v>11</v>
      </c>
      <c r="E6" s="14" t="s">
        <v>12</v>
      </c>
      <c r="F6" s="14" t="s">
        <v>13</v>
      </c>
      <c r="G6" s="14" t="s">
        <v>14</v>
      </c>
    </row>
    <row r="7" spans="1:15" x14ac:dyDescent="0.25">
      <c r="A7" s="61">
        <f>IF(ISBLANK(B7),"",_xlfn.ISOWEEKNUM('Journal de travail'!$B7))</f>
        <v>7</v>
      </c>
      <c r="B7" s="26">
        <v>46063</v>
      </c>
      <c r="C7" s="27"/>
      <c r="D7" s="28">
        <v>25</v>
      </c>
      <c r="E7" s="29" t="s">
        <v>17</v>
      </c>
      <c r="F7" s="23" t="s">
        <v>34</v>
      </c>
      <c r="G7" s="38"/>
    </row>
    <row r="8" spans="1:15" x14ac:dyDescent="0.25">
      <c r="A8" s="62">
        <f>IF(ISBLANK(B8),"",_xlfn.ISOWEEKNUM('Journal de travail'!$B8))</f>
        <v>7</v>
      </c>
      <c r="B8" s="30">
        <v>46063</v>
      </c>
      <c r="C8" s="31"/>
      <c r="D8" s="32">
        <v>50</v>
      </c>
      <c r="E8" s="33" t="s">
        <v>15</v>
      </c>
      <c r="F8" s="23" t="s">
        <v>31</v>
      </c>
      <c r="G8" s="39"/>
      <c r="M8" t="s">
        <v>17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7</v>
      </c>
      <c r="B9" s="34">
        <v>46063</v>
      </c>
      <c r="C9" s="35">
        <v>2</v>
      </c>
      <c r="D9" s="36">
        <v>30</v>
      </c>
      <c r="E9" s="37" t="s">
        <v>15</v>
      </c>
      <c r="F9" s="23" t="s">
        <v>32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7</v>
      </c>
      <c r="B10" s="30">
        <v>46064</v>
      </c>
      <c r="C10" s="31">
        <v>2</v>
      </c>
      <c r="D10" s="32">
        <v>0</v>
      </c>
      <c r="E10" s="33" t="s">
        <v>15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7</v>
      </c>
      <c r="B11" s="34">
        <v>46064</v>
      </c>
      <c r="C11" s="35"/>
      <c r="D11" s="36">
        <v>30</v>
      </c>
      <c r="E11" s="37" t="s">
        <v>15</v>
      </c>
      <c r="F11" s="23" t="s">
        <v>36</v>
      </c>
      <c r="G11" s="40"/>
      <c r="M11" t="s">
        <v>15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7</v>
      </c>
      <c r="B12" s="30">
        <v>46064</v>
      </c>
      <c r="C12" s="31"/>
      <c r="D12" s="32">
        <v>30</v>
      </c>
      <c r="E12" s="33" t="s">
        <v>15</v>
      </c>
      <c r="F12" s="23" t="s">
        <v>37</v>
      </c>
      <c r="G12" s="39"/>
      <c r="M12" t="s">
        <v>19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9</v>
      </c>
      <c r="B13" s="34">
        <v>46077</v>
      </c>
      <c r="C13" s="35"/>
      <c r="D13" s="36">
        <v>25</v>
      </c>
      <c r="E13" s="37" t="s">
        <v>17</v>
      </c>
      <c r="F13" s="23" t="s">
        <v>34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9</v>
      </c>
      <c r="B14" s="30">
        <v>46077</v>
      </c>
      <c r="C14" s="31">
        <v>1</v>
      </c>
      <c r="D14" s="32">
        <v>10</v>
      </c>
      <c r="E14" s="33" t="s">
        <v>15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9</v>
      </c>
      <c r="B15" s="34">
        <v>46077</v>
      </c>
      <c r="C15" s="35"/>
      <c r="D15" s="36">
        <v>15</v>
      </c>
      <c r="E15" s="37" t="s">
        <v>17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9</v>
      </c>
      <c r="B16" s="30">
        <v>46077</v>
      </c>
      <c r="C16" s="31"/>
      <c r="D16" s="32">
        <v>10</v>
      </c>
      <c r="E16" s="33" t="s">
        <v>15</v>
      </c>
      <c r="F16" s="23" t="s">
        <v>40</v>
      </c>
      <c r="G16" s="39"/>
      <c r="O16">
        <v>40</v>
      </c>
    </row>
    <row r="17" spans="1:15" ht="31.5" x14ac:dyDescent="0.25">
      <c r="A17" s="63">
        <f>IF(ISBLANK(B17),"",_xlfn.ISOWEEKNUM('Journal de travail'!$B17))</f>
        <v>9</v>
      </c>
      <c r="B17" s="34">
        <v>46077</v>
      </c>
      <c r="C17" s="35">
        <v>1</v>
      </c>
      <c r="D17" s="36">
        <v>0</v>
      </c>
      <c r="E17" s="37" t="s">
        <v>15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9</v>
      </c>
      <c r="B18" s="30">
        <v>46077</v>
      </c>
      <c r="C18" s="31"/>
      <c r="D18" s="32">
        <v>15</v>
      </c>
      <c r="E18" s="33" t="s">
        <v>15</v>
      </c>
      <c r="F18" s="84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9</v>
      </c>
      <c r="B19" s="34">
        <v>46077</v>
      </c>
      <c r="C19" s="35"/>
      <c r="D19" s="36">
        <v>20</v>
      </c>
      <c r="E19" s="37" t="s">
        <v>16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9</v>
      </c>
      <c r="B20" s="30">
        <v>46077</v>
      </c>
      <c r="C20" s="31"/>
      <c r="D20" s="32">
        <v>10</v>
      </c>
      <c r="E20" s="33" t="s">
        <v>16</v>
      </c>
      <c r="F20" s="23" t="s">
        <v>44</v>
      </c>
      <c r="G20" s="39"/>
    </row>
    <row r="21" spans="1:15" x14ac:dyDescent="0.25">
      <c r="A21" s="63">
        <f>IF(ISBLANK(B21),"",_xlfn.ISOWEEKNUM('Journal de travail'!$B21))</f>
        <v>9</v>
      </c>
      <c r="B21" s="34">
        <v>46078</v>
      </c>
      <c r="C21" s="35">
        <v>2</v>
      </c>
      <c r="D21" s="36">
        <v>10</v>
      </c>
      <c r="E21" s="37" t="s">
        <v>16</v>
      </c>
      <c r="F21" s="23" t="s">
        <v>45</v>
      </c>
      <c r="G21" s="40"/>
    </row>
    <row r="22" spans="1:15" x14ac:dyDescent="0.25">
      <c r="A22" s="62">
        <f>IF(ISBLANK(B22),"",_xlfn.ISOWEEKNUM('Journal de travail'!$B22))</f>
        <v>9</v>
      </c>
      <c r="B22" s="30">
        <v>46078</v>
      </c>
      <c r="C22" s="31"/>
      <c r="D22" s="32">
        <v>15</v>
      </c>
      <c r="E22" s="33" t="s">
        <v>17</v>
      </c>
      <c r="F22" s="23" t="s">
        <v>34</v>
      </c>
      <c r="G22" s="39"/>
    </row>
    <row r="23" spans="1:15" x14ac:dyDescent="0.25">
      <c r="A23" s="63">
        <f>IF(ISBLANK(B23),"",_xlfn.ISOWEEKNUM('Journal de travail'!$B23))</f>
        <v>9</v>
      </c>
      <c r="B23" s="34">
        <v>46078</v>
      </c>
      <c r="C23" s="35"/>
      <c r="D23" s="36">
        <v>15</v>
      </c>
      <c r="E23" s="37" t="s">
        <v>17</v>
      </c>
      <c r="F23" s="23" t="s">
        <v>46</v>
      </c>
      <c r="G23" s="40"/>
    </row>
    <row r="24" spans="1:15" x14ac:dyDescent="0.25">
      <c r="A24" s="62">
        <f>IF(ISBLANK(B24),"",_xlfn.ISOWEEKNUM('Journal de travail'!$B24))</f>
        <v>9</v>
      </c>
      <c r="B24" s="30">
        <v>46078</v>
      </c>
      <c r="C24" s="31"/>
      <c r="D24" s="32">
        <v>20</v>
      </c>
      <c r="E24" s="33" t="s">
        <v>15</v>
      </c>
      <c r="F24" s="23" t="s">
        <v>42</v>
      </c>
      <c r="G24" s="39"/>
    </row>
    <row r="25" spans="1:15" x14ac:dyDescent="0.25">
      <c r="A25" s="63">
        <f>IF(ISBLANK(B25),"",_xlfn.ISOWEEKNUM('Journal de travail'!$B25))</f>
        <v>10</v>
      </c>
      <c r="B25" s="34">
        <v>46084</v>
      </c>
      <c r="C25" s="35"/>
      <c r="D25" s="36">
        <v>20</v>
      </c>
      <c r="E25" s="37" t="s">
        <v>18</v>
      </c>
      <c r="F25" s="23" t="s">
        <v>47</v>
      </c>
      <c r="G25" s="40"/>
    </row>
    <row r="26" spans="1:15" x14ac:dyDescent="0.25">
      <c r="A26" s="62">
        <f>IF(ISBLANK(B26),"",_xlfn.ISOWEEKNUM('Journal de travail'!$B26))</f>
        <v>10</v>
      </c>
      <c r="B26" s="30">
        <v>46084</v>
      </c>
      <c r="C26" s="31"/>
      <c r="D26" s="32">
        <v>30</v>
      </c>
      <c r="E26" s="33" t="s">
        <v>16</v>
      </c>
      <c r="F26" s="23" t="s">
        <v>48</v>
      </c>
      <c r="G26" s="39"/>
    </row>
    <row r="27" spans="1:15" x14ac:dyDescent="0.25">
      <c r="A27" s="63">
        <f>IF(ISBLANK(B27),"",_xlfn.ISOWEEKNUM('Journal de travail'!$B27))</f>
        <v>10</v>
      </c>
      <c r="B27" s="34">
        <v>46084</v>
      </c>
      <c r="C27" s="35">
        <v>1</v>
      </c>
      <c r="D27" s="36">
        <v>10</v>
      </c>
      <c r="E27" s="37" t="s">
        <v>16</v>
      </c>
      <c r="F27" s="23" t="s">
        <v>49</v>
      </c>
      <c r="G27" s="40"/>
    </row>
    <row r="28" spans="1:15" x14ac:dyDescent="0.25">
      <c r="A28" s="62">
        <f>IF(ISBLANK(B28),"",_xlfn.ISOWEEKNUM('Journal de travail'!$B28))</f>
        <v>10</v>
      </c>
      <c r="B28" s="30">
        <v>46084</v>
      </c>
      <c r="C28" s="31">
        <v>1</v>
      </c>
      <c r="D28" s="32">
        <v>45</v>
      </c>
      <c r="E28" s="33" t="s">
        <v>16</v>
      </c>
      <c r="F28" s="22" t="s">
        <v>50</v>
      </c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20</v>
      </c>
      <c r="F2" s="68">
        <v>90</v>
      </c>
      <c r="G2" s="66" t="s">
        <v>21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22</v>
      </c>
      <c r="L4" s="66" t="s">
        <v>23</v>
      </c>
      <c r="M4" s="41"/>
      <c r="N4" s="19"/>
    </row>
    <row r="5" spans="1:14" x14ac:dyDescent="0.3">
      <c r="A5" t="s">
        <v>24</v>
      </c>
      <c r="B5" t="s">
        <v>25</v>
      </c>
      <c r="C5" s="41" t="s">
        <v>26</v>
      </c>
      <c r="D5" s="42"/>
      <c r="E5" s="45" t="s">
        <v>27</v>
      </c>
      <c r="F5" s="46" t="s">
        <v>28</v>
      </c>
      <c r="G5" s="47" t="s">
        <v>29</v>
      </c>
      <c r="L5" s="48" t="s">
        <v>27</v>
      </c>
      <c r="M5" s="49" t="s">
        <v>28</v>
      </c>
      <c r="N5" s="50" t="s">
        <v>29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95</v>
      </c>
      <c r="C6">
        <f t="shared" ref="C6:C10" si="0">SUM(A6:B6)</f>
        <v>95</v>
      </c>
      <c r="E6" s="70" t="str">
        <f>'Journal de travail'!M8</f>
        <v>Analyse</v>
      </c>
      <c r="F6" s="71" t="str">
        <f>QUOTIENT(SUM(A6:B6),60)&amp;" h "&amp;TEXT(MOD(SUM(A6:B6),60), "00")&amp;" min"</f>
        <v>1 h 35 min</v>
      </c>
      <c r="G6" s="72">
        <f>SUM(A6:B6)/$C$11</f>
        <v>9.1787439613526575E-2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240</v>
      </c>
      <c r="B7">
        <f>SUMIF('Journal de travail'!$E$7:$E$532,Plannification!E7,'Journal de travail'!$D$7:$D$532)</f>
        <v>125</v>
      </c>
      <c r="C7">
        <f t="shared" si="0"/>
        <v>365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6 h 05 min</v>
      </c>
      <c r="G7" s="75">
        <f t="shared" ref="G7:G9" si="2">SUM(A7:B7)/$C$11</f>
        <v>0.35265700483091789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20</v>
      </c>
      <c r="C8">
        <f t="shared" si="0"/>
        <v>20</v>
      </c>
      <c r="E8" s="76" t="str">
        <f>'Journal de travail'!M10</f>
        <v>Test</v>
      </c>
      <c r="F8" s="71" t="str">
        <f t="shared" si="1"/>
        <v>0 h 20 min</v>
      </c>
      <c r="G8" s="72">
        <f t="shared" si="2"/>
        <v>1.932367149758454E-2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360</v>
      </c>
      <c r="B9">
        <f>SUMIF('Journal de travail'!$E$7:$E$532,Plannification!E9,'Journal de travail'!$D$7:$D$532)</f>
        <v>195</v>
      </c>
      <c r="C9">
        <f t="shared" si="0"/>
        <v>555</v>
      </c>
      <c r="E9" s="77" t="str">
        <f>'Journal de travail'!M11</f>
        <v>Documentation</v>
      </c>
      <c r="F9" s="74" t="str">
        <f t="shared" si="1"/>
        <v>9 h 15 min</v>
      </c>
      <c r="G9" s="75">
        <f t="shared" si="2"/>
        <v>0.53623188405797106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19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19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600</v>
      </c>
      <c r="B11">
        <f>SUM(B6:B10)</f>
        <v>435</v>
      </c>
      <c r="C11">
        <f>SUM(A11:B11)</f>
        <v>1035</v>
      </c>
      <c r="E11" s="81" t="s">
        <v>30</v>
      </c>
      <c r="F11" s="71" t="str">
        <f t="shared" si="1"/>
        <v>17 h 15 min</v>
      </c>
      <c r="G11" s="82">
        <f>C11/C12</f>
        <v>0.19166666666666668</v>
      </c>
      <c r="L11" s="56" t="s">
        <v>30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2026-03-03T16:16:27Z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