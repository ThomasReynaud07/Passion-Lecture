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03xgo\Documents\GitHub\Passion-Lecture\Doc Backend\"/>
    </mc:Choice>
  </mc:AlternateContent>
  <xr:revisionPtr revIDLastSave="0" documentId="13_ncr:1_{9AD5B12C-284F-48CB-A93E-B34E47A5A6F2}" xr6:coauthVersionLast="47" xr6:coauthVersionMax="47" xr10:uidLastSave="{00000000-0000-0000-0000-000000000000}"/>
  <bookViews>
    <workbookView xWindow="1515" yWindow="1515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<sst xmlns="http://schemas.openxmlformats.org/spreadsheetml/2006/main" count="66" uniqueCount="46">
  <si>
    <t>Journal de travail</t>
  </si>
  <si>
    <t>Auteur:</t>
  </si>
  <si>
    <t>Peltier Thomas</t>
  </si>
  <si>
    <t>Projet:</t>
  </si>
  <si>
    <t>Temps total:</t>
  </si>
  <si>
    <t>Date:</t>
  </si>
  <si>
    <t>5 sept 2025 à 8h00 au 31 octobre 2025 à 12h15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</si>
  <si>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</si>
  <si>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</si>
  <si>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</si>
  <si>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</si>
  <si>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</si>
  <si>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</si>
  <si>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</si>
  <si>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</si>
  <si>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</si>
  <si>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Implémentation</t>
  </si>
  <si>
    <t>Analyse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</si>
  <si>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</si>
  <si>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</si>
  <si>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</si>
  <si>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</si>
  <si>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</si>
  <si>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</si>
  <si>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</si>
  <si>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</si>
  <si>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</si>
  <si>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</si>
  <si>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</si>
  <si>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</si>
  <si>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</si>
  <si>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Passion lecture</t>
  </si>
  <si>
    <t>J'ai fais la plannification avec github Project</t>
  </si>
  <si>
    <t>J'ai fais le quick start</t>
  </si>
  <si>
    <t>J'ai commencé le rapport</t>
  </si>
  <si>
    <t>J'ai aidé mon collège pour la création du mcd</t>
  </si>
  <si>
    <t>J'ai écouter le profs</t>
  </si>
  <si>
    <t>J'ai avancé un peu sur le rapport en attendant le mcd de mon collègue</t>
  </si>
  <si>
    <t>J'ai créer tout les validators</t>
  </si>
  <si>
    <t>J'ai eu un problème avec mon ordinateur il a freez et j'ai eu un probleme avec les écrants qui étaient noir</t>
  </si>
  <si>
    <t xml:space="preserve">J'ai ajouter le seeder author </t>
  </si>
  <si>
    <t>J'ai modifier mes validateurs car ils n'étaient pas correcte avec les mauvais noms</t>
  </si>
  <si>
    <t>J'ai fais le controller author</t>
  </si>
  <si>
    <t>J'ai fais les test api avec bruno</t>
  </si>
  <si>
    <t>J'ai ajouter le controller categorie</t>
  </si>
  <si>
    <t>J'ai continuer le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</si>
</sst>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0" fontId="17" fillId="0" borderId="0" xfId="0" applyFont="1" applyAlignment="1" applyProtection="1">
      <alignment vertical="center" wrapText="1"/>
      <protection locked="0"/>
    </xf>
    <xf numFmtId="167" fontId="0" fillId="0" borderId="0" xfId="0" applyNumberFormat="1" applyFont="1" applyProtection="1">
      <protection locked="0"/>
    </xf>
    <xf numFmtId="167" fontId="0" fillId="3" borderId="0" xfId="0" applyNumberFormat="1" applyFont="1" applyFill="1" applyProtection="1">
      <protection locked="0"/>
    </xf>
    <xf numFmtId="166" fontId="0" fillId="0" borderId="0" xfId="0" applyNumberFormat="1" applyFont="1" applyProtection="1">
      <protection locked="0"/>
    </xf>
    <xf numFmtId="166" fontId="0" fillId="3" borderId="0" xfId="0" applyNumberFormat="1" applyFont="1" applyFill="1" applyProtection="1">
      <protection locked="0"/>
    </xf>
    <xf numFmtId="168" fontId="0" fillId="0" borderId="0" xfId="0" applyNumberFormat="1" applyFont="1" applyAlignment="1" applyProtection="1">
      <alignment horizontal="left"/>
      <protection locked="0"/>
    </xf>
    <xf numFmtId="168" fontId="0" fillId="3" borderId="0" xfId="0" applyNumberFormat="1" applyFont="1" applyFill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3" borderId="0" xfId="0" applyFont="1" applyFill="1" applyProtection="1">
      <protection locked="0"/>
    </xf>
    <xf numFmtId="0" fontId="0" fillId="0" borderId="0" xfId="0" applyFont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110</c:v>
                </c:pt>
                <c:pt idx="1">
                  <c:v>360</c:v>
                </c:pt>
                <c:pt idx="2">
                  <c:v>25</c:v>
                </c:pt>
                <c:pt idx="3">
                  <c:v>270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0.1437908496732026</c:v>
                </c:pt>
                <c:pt idx="1">
                  <c:v>0.47058823529411764</c:v>
                </c:pt>
                <c:pt idx="2">
                  <c:v>3.2679738562091505E-2</c:v>
                </c:pt>
                <c:pt idx="3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G17" sqref="G17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96" t="s">
        <v>1</v>
      </c>
      <c r="B2" s="96"/>
      <c r="C2" s="94" t="s">
        <v>2</v>
      </c>
      <c r="D2" s="94"/>
      <c r="E2" s="94"/>
      <c r="F2" s="5" t="s">
        <v>3</v>
      </c>
      <c r="G2" s="64" t="s">
        <v>31</v>
      </c>
    </row>
    <row r="3" spans="1:15" ht="23.25" x14ac:dyDescent="0.35">
      <c r="A3" s="96" t="s">
        <v>4</v>
      </c>
      <c r="B3" s="96"/>
      <c r="C3" s="67" t="str">
        <f>QUOTIENT(E4,60)&amp;" heures "&amp;MOD(E4,60)&amp;" minutes"</f>
        <v>12 heures 45 minutes</v>
      </c>
      <c r="D3" s="17"/>
      <c r="E3" s="3"/>
      <c r="F3" s="4" t="s">
        <v>5</v>
      </c>
      <c r="G3" s="65" t="s">
        <v>6</v>
      </c>
    </row>
    <row r="4" spans="1:15" ht="23.25" hidden="1" x14ac:dyDescent="0.35">
      <c r="B4" s="5"/>
      <c r="C4" s="17">
        <f>SUBTOTAL(9,$C$7:$C$531)*60</f>
        <v>480</v>
      </c>
      <c r="D4" s="17">
        <f>SUBTOTAL(9,$D$7:$D$531)</f>
        <v>285</v>
      </c>
      <c r="E4" s="24">
        <f>SUM(C4:D4)</f>
        <v>765</v>
      </c>
      <c r="F4" s="4"/>
      <c r="G4" s="6"/>
    </row>
    <row r="5" spans="1:15" x14ac:dyDescent="0.25">
      <c r="C5" s="95" t="s">
        <v>7</v>
      </c>
      <c r="D5" s="95"/>
    </row>
    <row r="6" spans="1:15" s="15" customFormat="1" ht="20.100000000000001" customHeight="1" x14ac:dyDescent="0.3">
      <c r="A6" s="13" t="s">
        <v>8</v>
      </c>
      <c r="B6" s="21" t="s">
        <v>9</v>
      </c>
      <c r="C6" s="25" t="s">
        <v>10</v>
      </c>
      <c r="D6" s="16" t="s">
        <v>11</v>
      </c>
      <c r="E6" s="14" t="s">
        <v>12</v>
      </c>
      <c r="F6" s="14" t="s">
        <v>13</v>
      </c>
      <c r="G6" s="14" t="s">
        <v>14</v>
      </c>
    </row>
    <row r="7" spans="1:15" x14ac:dyDescent="0.25">
      <c r="A7" s="61">
        <f>IF(ISBLANK(B7),"",_xlfn.ISOWEEKNUM('Journal de travail'!$B7))</f>
        <v>18</v>
      </c>
      <c r="B7" s="26">
        <v>46140</v>
      </c>
      <c r="C7" s="27">
        <v>1</v>
      </c>
      <c r="D7" s="28">
        <v>30</v>
      </c>
      <c r="E7" s="29" t="s">
        <v>15</v>
      </c>
      <c r="F7" s="23" t="s">
        <v>32</v>
      </c>
      <c r="G7" s="38"/>
    </row>
    <row r="8" spans="1:15" x14ac:dyDescent="0.25">
      <c r="A8" s="62">
        <f>IF(ISBLANK(B8),"",_xlfn.ISOWEEKNUM('Journal de travail'!$B8))</f>
        <v>18</v>
      </c>
      <c r="B8" s="30">
        <v>46140</v>
      </c>
      <c r="C8" s="31"/>
      <c r="D8" s="32">
        <v>15</v>
      </c>
      <c r="E8" s="33" t="s">
        <v>16</v>
      </c>
      <c r="F8" s="23" t="s">
        <v>33</v>
      </c>
      <c r="G8" s="39"/>
      <c r="M8" t="s">
        <v>17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18</v>
      </c>
      <c r="B9" s="34">
        <v>46140</v>
      </c>
      <c r="C9" s="35">
        <v>1</v>
      </c>
      <c r="D9" s="36">
        <v>30</v>
      </c>
      <c r="E9" s="37" t="s">
        <v>15</v>
      </c>
      <c r="F9" s="23" t="s">
        <v>34</v>
      </c>
      <c r="G9" s="40"/>
      <c r="M9" t="s">
        <v>16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18</v>
      </c>
      <c r="B10" s="30">
        <v>46140</v>
      </c>
      <c r="C10" s="31"/>
      <c r="D10" s="32">
        <v>30</v>
      </c>
      <c r="E10" s="33" t="s">
        <v>17</v>
      </c>
      <c r="F10" s="23" t="s">
        <v>35</v>
      </c>
      <c r="G10" s="39"/>
      <c r="M10" t="s">
        <v>18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19</v>
      </c>
      <c r="B11" s="34">
        <v>46146</v>
      </c>
      <c r="C11" s="35"/>
      <c r="D11" s="36">
        <v>20</v>
      </c>
      <c r="E11" s="37" t="s">
        <v>17</v>
      </c>
      <c r="F11" s="23" t="s">
        <v>36</v>
      </c>
      <c r="G11" s="40"/>
      <c r="M11" t="s">
        <v>15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19</v>
      </c>
      <c r="B12" s="30">
        <v>46146</v>
      </c>
      <c r="C12" s="31"/>
      <c r="D12" s="32">
        <v>30</v>
      </c>
      <c r="E12" s="33" t="s">
        <v>15</v>
      </c>
      <c r="F12" s="23" t="s">
        <v>37</v>
      </c>
      <c r="G12" s="39"/>
      <c r="M12" t="s">
        <v>19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19</v>
      </c>
      <c r="B13" s="34">
        <v>46146</v>
      </c>
      <c r="C13" s="35">
        <v>2</v>
      </c>
      <c r="D13" s="36">
        <v>10</v>
      </c>
      <c r="E13" s="37" t="s">
        <v>16</v>
      </c>
      <c r="F13" s="23" t="s">
        <v>38</v>
      </c>
      <c r="G13" s="40"/>
      <c r="N13">
        <v>6</v>
      </c>
      <c r="O13">
        <v>25</v>
      </c>
    </row>
    <row r="14" spans="1:15" ht="31.5" x14ac:dyDescent="0.25">
      <c r="A14" s="62">
        <f>IF(ISBLANK(B14),"",_xlfn.ISOWEEKNUM('Journal de travail'!$B14))</f>
        <v>19</v>
      </c>
      <c r="B14" s="30">
        <v>46147</v>
      </c>
      <c r="C14" s="31">
        <v>1</v>
      </c>
      <c r="D14" s="32">
        <v>0</v>
      </c>
      <c r="E14" s="33" t="s">
        <v>17</v>
      </c>
      <c r="F14" s="23" t="s">
        <v>39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19</v>
      </c>
      <c r="B15" s="34">
        <v>46147</v>
      </c>
      <c r="C15" s="35"/>
      <c r="D15" s="36">
        <v>30</v>
      </c>
      <c r="E15" s="37" t="s">
        <v>16</v>
      </c>
      <c r="F15" s="23" t="s">
        <v>40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19</v>
      </c>
      <c r="B16" s="30">
        <v>46147</v>
      </c>
      <c r="C16" s="31"/>
      <c r="D16" s="32">
        <v>30</v>
      </c>
      <c r="E16" s="33" t="s">
        <v>16</v>
      </c>
      <c r="F16" s="23" t="s">
        <v>41</v>
      </c>
      <c r="G16" s="39"/>
      <c r="O16">
        <v>40</v>
      </c>
    </row>
    <row r="17" spans="1:15" x14ac:dyDescent="0.25">
      <c r="A17" s="63">
        <f>IF(ISBLANK(B17),"",_xlfn.ISOWEEKNUM('Journal de travail'!$B17))</f>
        <v>19</v>
      </c>
      <c r="B17" s="34">
        <v>46147</v>
      </c>
      <c r="C17" s="35">
        <v>1</v>
      </c>
      <c r="D17" s="36">
        <v>20</v>
      </c>
      <c r="E17" s="37" t="s">
        <v>16</v>
      </c>
      <c r="F17" s="23" t="s">
        <v>42</v>
      </c>
      <c r="G17" s="40"/>
      <c r="O17">
        <v>45</v>
      </c>
    </row>
    <row r="18" spans="1:15" x14ac:dyDescent="0.25">
      <c r="A18" s="62">
        <f>IF(ISBLANK(B18),"",_xlfn.ISOWEEKNUM('Journal de travail'!$B18))</f>
        <v>19</v>
      </c>
      <c r="B18" s="30">
        <v>46147</v>
      </c>
      <c r="C18" s="31"/>
      <c r="D18" s="32">
        <v>25</v>
      </c>
      <c r="E18" s="33" t="s">
        <v>18</v>
      </c>
      <c r="F18" s="84" t="s">
        <v>43</v>
      </c>
      <c r="G18" s="39"/>
      <c r="O18">
        <v>50</v>
      </c>
    </row>
    <row r="19" spans="1:15" x14ac:dyDescent="0.25">
      <c r="A19" s="63">
        <f>IF(ISBLANK(B19),"",_xlfn.ISOWEEKNUM('Journal de travail'!$B19))</f>
        <v>20</v>
      </c>
      <c r="B19" s="34">
        <v>46153</v>
      </c>
      <c r="C19" s="35">
        <v>1</v>
      </c>
      <c r="D19" s="36">
        <v>15</v>
      </c>
      <c r="E19" s="37" t="s">
        <v>16</v>
      </c>
      <c r="F19" s="23" t="s">
        <v>44</v>
      </c>
      <c r="G19" s="40"/>
      <c r="O19">
        <v>55</v>
      </c>
    </row>
    <row r="20" spans="1:15" x14ac:dyDescent="0.25">
      <c r="A20" s="62">
        <f>IF(ISBLANK(B20),"",_xlfn.ISOWEEKNUM('Journal de travail'!$B20))</f>
        <v>20</v>
      </c>
      <c r="B20" s="30">
        <v>46153</v>
      </c>
      <c r="C20" s="31">
        <v>1</v>
      </c>
      <c r="D20" s="32"/>
      <c r="E20" s="33" t="s">
        <v>15</v>
      </c>
      <c r="F20" s="23" t="s">
        <v>45</v>
      </c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IF(ISBLANK(B33),"",_xlfn.ISOWEEKNUM('Journal de travail'!$B33))</f>
        <v/>
      </c>
      <c r="B31" s="85"/>
      <c r="C31" s="87"/>
      <c r="D31" s="89"/>
      <c r="E31" s="91"/>
      <c r="F31" s="93"/>
      <c r="G31" s="40"/>
    </row>
    <row r="32" spans="1:15" x14ac:dyDescent="0.25">
      <c r="A32" s="62" t="str">
        <f>IF(ISBLANK(B34),"",_xlfn.ISOWEEKNUM('Journal de travail'!$B34))</f>
        <v/>
      </c>
      <c r="B32" s="85"/>
      <c r="C32" s="87"/>
      <c r="D32" s="89"/>
      <c r="E32" s="91"/>
      <c r="F32" s="93"/>
      <c r="G32" s="39"/>
    </row>
    <row r="33" spans="1:7" x14ac:dyDescent="0.25">
      <c r="A33" s="63" t="str">
        <f>IF(ISBLANK(B35),"",_xlfn.ISOWEEKNUM('Journal de travail'!$B35))</f>
        <v/>
      </c>
      <c r="B33" s="86"/>
      <c r="C33" s="88"/>
      <c r="D33" s="90"/>
      <c r="E33" s="92"/>
      <c r="F33" s="93"/>
      <c r="G33" s="40"/>
    </row>
    <row r="34" spans="1:7" x14ac:dyDescent="0.25">
      <c r="A34" s="62" t="e">
        <f>IF(ISBLANK(#REF!),"",_xlfn.ISOWEEKNUM('Journal de travail'!#REF!))</f>
        <v>#REF!</v>
      </c>
      <c r="B34" s="85"/>
      <c r="C34" s="87"/>
      <c r="D34" s="89"/>
      <c r="E34" s="91"/>
      <c r="F34" s="93"/>
      <c r="G34" s="39"/>
    </row>
    <row r="35" spans="1:7" x14ac:dyDescent="0.25">
      <c r="A35" s="63" t="e">
        <f>IF(ISBLANK(#REF!),"",_xlfn.ISOWEEKNUM('Journal de travail'!#REF!))</f>
        <v>#REF!</v>
      </c>
      <c r="B35" s="34"/>
      <c r="C35" s="35"/>
      <c r="D35" s="36"/>
      <c r="E35" s="37"/>
      <c r="F35" s="22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30 E33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30 C33:C532" xr:uid="{9D52E29F-610D-40B2-B3CC-F94A741DD978}">
      <formula1>$N$7:$N$15</formula1>
    </dataValidation>
    <dataValidation type="list" allowBlank="1" showInputMessage="1" showErrorMessage="1" sqref="D7:D30 D33:D532" xr:uid="{46510F84-8BCC-4BD6-9A19-9F03ACD74D05}">
      <formula1>$O$7:$O$19</formula1>
    </dataValidation>
    <dataValidation type="list" allowBlank="1" showInputMessage="1" showErrorMessage="1" sqref="E7:E30 E33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20</v>
      </c>
      <c r="F2" s="68">
        <v>90</v>
      </c>
      <c r="G2" s="66" t="s">
        <v>21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22</v>
      </c>
      <c r="L4" s="66" t="s">
        <v>23</v>
      </c>
      <c r="M4" s="41"/>
      <c r="N4" s="19"/>
    </row>
    <row r="5" spans="1:14" x14ac:dyDescent="0.3">
      <c r="A5" t="s">
        <v>24</v>
      </c>
      <c r="B5" t="s">
        <v>25</v>
      </c>
      <c r="C5" s="41" t="s">
        <v>26</v>
      </c>
      <c r="D5" s="42"/>
      <c r="E5" s="45" t="s">
        <v>27</v>
      </c>
      <c r="F5" s="46" t="s">
        <v>28</v>
      </c>
      <c r="G5" s="47" t="s">
        <v>29</v>
      </c>
      <c r="L5" s="48" t="s">
        <v>27</v>
      </c>
      <c r="M5" s="49" t="s">
        <v>28</v>
      </c>
      <c r="N5" s="50" t="s">
        <v>29</v>
      </c>
    </row>
    <row r="6" spans="1:14" x14ac:dyDescent="0.3">
      <c r="A6">
        <f>SUMIF('Journal de travail'!$E$7:$E$532,Plannification!E6,'Journal de travail'!$C$7:$C$532)*60</f>
        <v>60</v>
      </c>
      <c r="B6">
        <f>SUMIF('Journal de travail'!$E$7:$E$532,Plannification!E6,'Journal de travail'!$D$7:$D$532)</f>
        <v>50</v>
      </c>
      <c r="C6">
        <f t="shared" ref="C6:C10" si="0">SUM(A6:B6)</f>
        <v>110</v>
      </c>
      <c r="E6" s="70" t="str">
        <f>'Journal de travail'!M8</f>
        <v>Analyse</v>
      </c>
      <c r="F6" s="71" t="str">
        <f>QUOTIENT(SUM(A6:B6),60)&amp;" h "&amp;TEXT(MOD(SUM(A6:B6),60), "00")&amp;" min"</f>
        <v>1 h 50 min</v>
      </c>
      <c r="G6" s="72">
        <f>SUM(A6:B6)/$C$11</f>
        <v>0.1437908496732026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120</v>
      </c>
      <c r="C7">
        <f t="shared" si="0"/>
        <v>360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6 h 00 min</v>
      </c>
      <c r="G7" s="75">
        <f t="shared" ref="G7:G9" si="2">SUM(A7:B7)/$C$11</f>
        <v>0.47058823529411764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25</v>
      </c>
      <c r="C8">
        <f t="shared" si="0"/>
        <v>25</v>
      </c>
      <c r="E8" s="76" t="str">
        <f>'Journal de travail'!M10</f>
        <v>Test</v>
      </c>
      <c r="F8" s="71" t="str">
        <f t="shared" si="1"/>
        <v>0 h 25 min</v>
      </c>
      <c r="G8" s="72">
        <f t="shared" si="2"/>
        <v>3.2679738562091505E-2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180</v>
      </c>
      <c r="B9">
        <f>SUMIF('Journal de travail'!$E$7:$E$532,Plannification!E9,'Journal de travail'!$D$7:$D$532)</f>
        <v>90</v>
      </c>
      <c r="C9">
        <f t="shared" si="0"/>
        <v>270</v>
      </c>
      <c r="E9" s="77" t="str">
        <f>'Journal de travail'!M11</f>
        <v>Documentation</v>
      </c>
      <c r="F9" s="74" t="str">
        <f t="shared" si="1"/>
        <v>4 h 30 min</v>
      </c>
      <c r="G9" s="75">
        <f t="shared" si="2"/>
        <v>0.35294117647058826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19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19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480</v>
      </c>
      <c r="B11">
        <f>SUM(B6:B10)</f>
        <v>285</v>
      </c>
      <c r="C11">
        <f>SUM(A11:B11)</f>
        <v>765</v>
      </c>
      <c r="E11" s="81" t="s">
        <v>30</v>
      </c>
      <c r="F11" s="71" t="str">
        <f t="shared" si="1"/>
        <v>12 h 45 min</v>
      </c>
      <c r="G11" s="82">
        <f>C11/C12</f>
        <v>0.14166666666666666</v>
      </c>
      <c r="L11" s="56" t="s">
        <v>30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b4a5ad45c54fa8cfccf4b5a6490850dd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fe3b3ea8edd81a9012b97c6ddf640ad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Props1.xml><?xml version="1.0" encoding="utf-8"?>
<ds:datastoreItem xmlns:ds="http://schemas.openxmlformats.org/officeDocument/2006/customXml" ds:itemID="{5B10C3F0-E765-401E-838F-B3E1E8C64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Peltier</cp:lastModifiedBy>
  <cp:revision/>
  <dcterms:created xsi:type="dcterms:W3CDTF">2023-11-21T20:00:34Z</dcterms:created>
  <dcterms:modified xsi:type="dcterms:W3CDTF">2026-05-11T12:47:04Z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