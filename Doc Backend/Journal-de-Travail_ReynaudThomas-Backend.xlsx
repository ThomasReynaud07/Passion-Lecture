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k84vtk\Documents\GitHub\Passion-Lecture\Doc Backend\"/>
    </mc:Choice>
  </mc:AlternateContent>
  <xr:revisionPtr revIDLastSave="0" documentId="13_ncr:1_{3326EA0D-7F61-4504-8A23-EC8E252ABD42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<sst xmlns="http://schemas.openxmlformats.org/spreadsheetml/2006/main" count="67" uniqueCount="46">
  <si>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</si>
  <si>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</si>
  <si>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</si>
  <si>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</si>
  <si>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</si>
  <si>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</si>
  <si>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</si>
  <si>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</si>
  <si>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</si>
  <si>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</si>
  <si>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</si>
  <si>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</si>
  <si>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</si>
  <si>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</si>
  <si>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</si>
  <si>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</si>
  <si>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</si>
  <si>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</si>
  <si>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</si>
  <si>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</si>
  <si>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</si>
  <si>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</si>
  <si>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</si>
  <si>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</si>
  <si>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</si>
  <si>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</si>
  <si>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</si>
  <si>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</si>
  <si>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</si>
  <si>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Reynaud Thomas</t>
  </si>
  <si>
    <t>Backend</t>
  </si>
  <si>
    <t>On a fait le github project tous ensemble</t>
  </si>
  <si>
    <t>J'ai commencé a faire les models avec adonisjs mais il y avait un problème avec adonis, le token ne voulais pas se créer et donc rien ne marchais</t>
  </si>
  <si>
    <t>J'ai aidé ryan avec le MCD MLD pour que tt soit en ordre avant de le faire verifier au prof</t>
  </si>
  <si>
    <t>J'ai recupérer mes exercices et j'ai relu la doc des validators ainsi que mes exercices pour commencer les controllers. Je vais commencer par le controller books.</t>
  </si>
  <si>
    <t>J'ai regarder les models et les migrations avec ryan</t>
  </si>
  <si>
    <t>J'ai commencé a faire les controllers (en premier le booksController)</t>
  </si>
  <si>
    <t xml:space="preserve">J'ai terminé le controller books ainsi que son validator </t>
  </si>
  <si>
    <t>Problème de version avec github etc on a du refaire certaines parties et corriger certaines choses.</t>
  </si>
  <si>
    <t>J'ai reprise mon controller books car certaines fonctionnalitées manquaient</t>
  </si>
  <si>
    <t>J'ai fais les tests api avec bruno notemment authors ils marchent tous</t>
  </si>
  <si>
    <t>J'ai aussi commencé les tests apis books quelqu'uns ne marchent pas je dois commencé l'auth</t>
  </si>
  <si>
    <t>J'ai changé la typo de autor to authors pour des raisons de simplifications</t>
  </si>
  <si>
    <t>J'ai fais le controller auth avec login et register et je les aient liés avec books pour que l'on ne puisse pas créer de livre sans être connecté</t>
  </si>
  <si>
    <t>J'ai fais les tests api de tous les controllers avec le runner, et avec ryan nous avons eu des problèmes d'ordre mais finalement tout les test passent + nous avons fais l'évaluation des 80% et nous sommes dans les temps</t>
  </si>
  <si>
    <t>J'ai fais le fichier txt des verbes HTTP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</si>
</sst>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160</c:v>
                </c:pt>
                <c:pt idx="1">
                  <c:v>390</c:v>
                </c:pt>
                <c:pt idx="2">
                  <c:v>180</c:v>
                </c:pt>
                <c:pt idx="3">
                  <c:v>215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0.1693121693121693</c:v>
                </c:pt>
                <c:pt idx="1">
                  <c:v>0.41269841269841268</c:v>
                </c:pt>
                <c:pt idx="2">
                  <c:v>0.19047619047619047</c:v>
                </c:pt>
                <c:pt idx="3">
                  <c:v>0.2275132275132275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Normal="100" workbookViewId="0">
      <pane ySplit="6" topLeftCell="A7" activePane="bottomLeft" state="frozen"/>
      <selection pane="bottomLeft" activeCell="G12" sqref="G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29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15 heures 45 minutes</v>
      </c>
      <c r="D3" s="17"/>
      <c r="E3" s="3"/>
      <c r="F3" s="4" t="s">
        <v>4</v>
      </c>
      <c r="G3" s="65"/>
    </row>
    <row r="4" spans="1:15" ht="23.25" hidden="1" x14ac:dyDescent="0.35">
      <c r="B4" s="5"/>
      <c r="C4" s="17">
        <f>SUBTOTAL(9,$C$7:$C$531)*60</f>
        <v>480</v>
      </c>
      <c r="D4" s="17">
        <f>SUBTOTAL(9,$D$7:$D$531)</f>
        <v>465</v>
      </c>
      <c r="E4" s="24">
        <f>SUM(C4:D4)</f>
        <v>945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16</v>
      </c>
      <c r="F7" s="23" t="s">
        <v>31</v>
      </c>
      <c r="G7" s="38"/>
    </row>
    <row r="8" spans="1:15" ht="31.5" x14ac:dyDescent="0.25">
      <c r="A8" s="62" t="str">
        <f>IF(ISBLANK(B8),"",_xlfn.ISOWEEKNUM('Journal de travail'!$B8))</f>
        <v/>
      </c>
      <c r="B8" s="30"/>
      <c r="C8" s="31">
        <v>1</v>
      </c>
      <c r="D8" s="32">
        <v>45</v>
      </c>
      <c r="E8" s="33" t="s">
        <v>14</v>
      </c>
      <c r="F8" s="23" t="s">
        <v>32</v>
      </c>
      <c r="G8" s="39"/>
      <c r="M8" t="s">
        <v>13</v>
      </c>
      <c r="N8">
        <v>1</v>
      </c>
      <c r="O8">
        <v>0</v>
      </c>
    </row>
    <row r="9" spans="1:15" x14ac:dyDescent="0.25">
      <c r="A9" s="63" t="str">
        <f>IF(ISBLANK(B9),"",_xlfn.ISOWEEKNUM('Journal de travail'!$B9))</f>
        <v/>
      </c>
      <c r="B9" s="34"/>
      <c r="C9" s="35"/>
      <c r="D9" s="36">
        <v>30</v>
      </c>
      <c r="E9" s="37" t="s">
        <v>13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ht="31.5" x14ac:dyDescent="0.25">
      <c r="A10" s="62">
        <f>IF(ISBLANK(B10),"",_xlfn.ISOWEEKNUM('Journal de travail'!$B10))</f>
        <v>19</v>
      </c>
      <c r="B10" s="30">
        <v>46146</v>
      </c>
      <c r="C10" s="31">
        <v>1</v>
      </c>
      <c r="D10" s="32">
        <v>20</v>
      </c>
      <c r="E10" s="33" t="s">
        <v>16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>
        <v>40</v>
      </c>
      <c r="E11" s="37" t="s">
        <v>13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>
        <v>15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46147</v>
      </c>
      <c r="C13" s="35">
        <v>2</v>
      </c>
      <c r="D13" s="36"/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>
        <v>45</v>
      </c>
      <c r="E14" s="33" t="s">
        <v>13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>
        <v>1</v>
      </c>
      <c r="D15" s="36"/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20</v>
      </c>
      <c r="B16" s="30">
        <v>46153</v>
      </c>
      <c r="C16" s="31">
        <v>1</v>
      </c>
      <c r="D16" s="32">
        <v>20</v>
      </c>
      <c r="E16" s="33" t="s">
        <v>15</v>
      </c>
      <c r="F16" s="23" t="s">
        <v>40</v>
      </c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>
        <v>55</v>
      </c>
      <c r="E17" s="37" t="s">
        <v>15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20</v>
      </c>
      <c r="B18" s="30">
        <v>46154</v>
      </c>
      <c r="C18" s="31"/>
      <c r="D18" s="32">
        <v>45</v>
      </c>
      <c r="E18" s="33" t="s">
        <v>13</v>
      </c>
      <c r="F18" s="23" t="s">
        <v>42</v>
      </c>
      <c r="G18" s="39"/>
      <c r="O18">
        <v>50</v>
      </c>
    </row>
    <row r="19" spans="1:15" ht="31.5" x14ac:dyDescent="0.25">
      <c r="A19" s="63" t="str">
        <f>IF(ISBLANK(B19),"",_xlfn.ISOWEEKNUM('Journal de travail'!$B19))</f>
        <v/>
      </c>
      <c r="B19" s="34"/>
      <c r="C19" s="35">
        <v>1</v>
      </c>
      <c r="D19" s="36">
        <v>30</v>
      </c>
      <c r="E19" s="37" t="s">
        <v>14</v>
      </c>
      <c r="F19" s="23" t="s">
        <v>43</v>
      </c>
      <c r="G19" s="40"/>
      <c r="O19">
        <v>55</v>
      </c>
    </row>
    <row r="20" spans="1:15" ht="47.25" x14ac:dyDescent="0.25">
      <c r="A20" s="62" t="str">
        <f>IF(ISBLANK(B20),"",_xlfn.ISOWEEKNUM('Journal de travail'!$B20))</f>
        <v/>
      </c>
      <c r="B20" s="30"/>
      <c r="C20" s="31"/>
      <c r="D20" s="32">
        <v>45</v>
      </c>
      <c r="E20" s="33" t="s">
        <v>15</v>
      </c>
      <c r="F20" s="23" t="s">
        <v>44</v>
      </c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>
        <v>45</v>
      </c>
      <c r="E21" s="37" t="s">
        <v>16</v>
      </c>
      <c r="F21" s="23" t="s">
        <v>45</v>
      </c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160</v>
      </c>
      <c r="C6">
        <f t="shared" ref="C6:C10" si="0">SUM(A6:B6)</f>
        <v>160</v>
      </c>
      <c r="E6" s="70" t="str">
        <f>'Journal de travail'!M8</f>
        <v>Analyse</v>
      </c>
      <c r="F6" s="71" t="str">
        <f>QUOTIENT(SUM(A6:B6),60)&amp;" h "&amp;TEXT(MOD(SUM(A6:B6),60), "00")&amp;" min"</f>
        <v>2 h 40 min</v>
      </c>
      <c r="G6" s="72">
        <f>SUM(A6:B6)/$C$11</f>
        <v>0.1693121693121693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300</v>
      </c>
      <c r="B7">
        <f>SUMIF('Journal de travail'!$E$7:$E$532,Plannification!E7,'Journal de travail'!$D$7:$D$532)</f>
        <v>90</v>
      </c>
      <c r="C7">
        <f t="shared" si="0"/>
        <v>390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6 h 30 min</v>
      </c>
      <c r="G7" s="75">
        <f t="shared" ref="G7:G9" si="2">SUM(A7:B7)/$C$11</f>
        <v>0.41269841269841268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120</v>
      </c>
      <c r="C8">
        <f t="shared" si="0"/>
        <v>180</v>
      </c>
      <c r="E8" s="76" t="str">
        <f>'Journal de travail'!M10</f>
        <v>Test</v>
      </c>
      <c r="F8" s="71" t="str">
        <f t="shared" si="1"/>
        <v>3 h 00 min</v>
      </c>
      <c r="G8" s="72">
        <f t="shared" si="2"/>
        <v>0.19047619047619047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95</v>
      </c>
      <c r="C9">
        <f t="shared" si="0"/>
        <v>215</v>
      </c>
      <c r="E9" s="77" t="str">
        <f>'Journal de travail'!M11</f>
        <v>Documentation</v>
      </c>
      <c r="F9" s="74" t="str">
        <f t="shared" si="1"/>
        <v>3 h 35 min</v>
      </c>
      <c r="G9" s="75">
        <f t="shared" si="2"/>
        <v>0.2275132275132275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17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480</v>
      </c>
      <c r="B11">
        <f>SUM(B6:B10)</f>
        <v>465</v>
      </c>
      <c r="C11">
        <f>SUM(A11:B11)</f>
        <v>945</v>
      </c>
      <c r="E11" s="81" t="s">
        <v>28</v>
      </c>
      <c r="F11" s="71" t="str">
        <f t="shared" si="1"/>
        <v>15 h 45 min</v>
      </c>
      <c r="G11" s="82">
        <f>C11/C12</f>
        <v>0.17499999999999999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Reynaud</cp:lastModifiedBy>
  <cp:revision/>
  <dcterms:created xsi:type="dcterms:W3CDTF">2023-11-21T20:00:34Z</dcterms:created>
  <dcterms:modified xsi:type="dcterms:W3CDTF">2026-05-12T15:17:26Z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