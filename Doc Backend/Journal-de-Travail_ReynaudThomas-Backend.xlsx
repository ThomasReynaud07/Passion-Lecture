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k84vtk\Downloads\"/>
    </mc:Choice>
  </mc:AlternateContent>
  <xr:revisionPtr revIDLastSave="0" documentId="13_ncr:1_{FDA1B9E0-4CDB-423B-9685-CB109F0A1F0F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<sst xmlns="http://schemas.openxmlformats.org/spreadsheetml/2006/main" count="43" uniqueCount="34">
  <si>
    <t>Journal de travail</t>
  </si>
  <si>
    <t>Auteur:</t>
  </si>
  <si>
    <t>Projet:</t>
  </si>
  <si>
    <t>Temps total:</t>
  </si>
  <si>
    <t>Date: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</si>
  <si>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</si>
  <si>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</si>
  <si>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</si>
  <si>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</si>
  <si>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</si>
  <si>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</si>
  <si>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</si>
  <si>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</si>
  <si>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</si>
  <si>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Implémentation</t>
  </si>
  <si>
    <t>Test</t>
  </si>
  <si>
    <t>Documentation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</si>
  <si>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</si>
  <si>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</si>
  <si>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</si>
  <si>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</si>
  <si>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</si>
  <si>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</si>
  <si>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</si>
  <si>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</si>
  <si>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</si>
  <si>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</si>
  <si>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</si>
  <si>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</si>
  <si>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Reynaud Thomas</t>
  </si>
  <si>
    <t>Backend</t>
  </si>
  <si>
    <t>On a fait le github project tous ensemble</t>
  </si>
  <si>
    <t>J'ai commencé a faire les models avec adonisjs mais il y avait un problème avec adonis, le token ne voulais pas se créer et donc rien ne marchais</t>
  </si>
  <si>
    <t>J'ai aidé ryan avec le MCD MLD pour que tt soit en ordre avant de le faire verifier au prof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</si>
</sst>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30</c:v>
                </c:pt>
                <c:pt idx="1">
                  <c:v>105</c:v>
                </c:pt>
                <c:pt idx="2">
                  <c:v>0</c:v>
                </c:pt>
                <c:pt idx="3">
                  <c:v>90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0.13333333333333333</c:v>
                </c:pt>
                <c:pt idx="1">
                  <c:v>0.46666666666666667</c:v>
                </c:pt>
                <c:pt idx="2">
                  <c:v>0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120" zoomScaleNormal="120" workbookViewId="0">
      <pane ySplit="6" topLeftCell="A7" activePane="bottomLeft" state="frozen"/>
      <selection pane="bottomLeft" activeCell="F9" sqref="F9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6" t="s">
        <v>1</v>
      </c>
      <c r="B2" s="86"/>
      <c r="C2" s="84" t="s">
        <v>29</v>
      </c>
      <c r="D2" s="84"/>
      <c r="E2" s="84"/>
      <c r="F2" s="5" t="s">
        <v>2</v>
      </c>
      <c r="G2" s="64" t="s">
        <v>30</v>
      </c>
    </row>
    <row r="3" spans="1:15" ht="23.25" x14ac:dyDescent="0.35">
      <c r="A3" s="86" t="s">
        <v>3</v>
      </c>
      <c r="B3" s="86"/>
      <c r="C3" s="67" t="str">
        <f>QUOTIENT(E4,60)&amp;" heures "&amp;MOD(E4,60)&amp;" minutes"</f>
        <v>3 heures 45 minutes</v>
      </c>
      <c r="D3" s="17"/>
      <c r="E3" s="3"/>
      <c r="F3" s="4" t="s">
        <v>4</v>
      </c>
      <c r="G3" s="65"/>
    </row>
    <row r="4" spans="1:15" ht="23.25" hidden="1" x14ac:dyDescent="0.35">
      <c r="B4" s="5"/>
      <c r="C4" s="17">
        <f>SUBTOTAL(9,$C$7:$C$531)*60</f>
        <v>120</v>
      </c>
      <c r="D4" s="17">
        <f>SUBTOTAL(9,$D$7:$D$531)</f>
        <v>105</v>
      </c>
      <c r="E4" s="24">
        <f>SUM(C4:D4)</f>
        <v>225</v>
      </c>
      <c r="F4" s="4"/>
      <c r="G4" s="6"/>
    </row>
    <row r="5" spans="1:15" x14ac:dyDescent="0.25">
      <c r="C5" s="85" t="s">
        <v>5</v>
      </c>
      <c r="D5" s="85"/>
    </row>
    <row r="6" spans="1:15" s="15" customFormat="1" ht="20.100000000000001" customHeight="1" x14ac:dyDescent="0.3">
      <c r="A6" s="13" t="s">
        <v>6</v>
      </c>
      <c r="B6" s="21" t="s">
        <v>7</v>
      </c>
      <c r="C6" s="25" t="s">
        <v>8</v>
      </c>
      <c r="D6" s="16" t="s">
        <v>9</v>
      </c>
      <c r="E6" s="14" t="s">
        <v>10</v>
      </c>
      <c r="F6" s="14" t="s">
        <v>11</v>
      </c>
      <c r="G6" s="14" t="s">
        <v>12</v>
      </c>
    </row>
    <row r="7" spans="1:15" x14ac:dyDescent="0.25">
      <c r="A7" s="61">
        <f>IF(ISBLANK(B7),"",_xlfn.ISOWEEKNUM('Journal de travail'!$B7))</f>
        <v>18</v>
      </c>
      <c r="B7" s="26">
        <v>46140</v>
      </c>
      <c r="C7" s="27">
        <v>1</v>
      </c>
      <c r="D7" s="28">
        <v>30</v>
      </c>
      <c r="E7" s="29" t="s">
        <v>16</v>
      </c>
      <c r="F7" s="23" t="s">
        <v>31</v>
      </c>
      <c r="G7" s="38"/>
    </row>
    <row r="8" spans="1:15" ht="31.5" x14ac:dyDescent="0.25">
      <c r="A8" s="62" t="str">
        <f>IF(ISBLANK(B8),"",_xlfn.ISOWEEKNUM('Journal de travail'!$B8))</f>
        <v/>
      </c>
      <c r="B8" s="30"/>
      <c r="C8" s="31">
        <v>1</v>
      </c>
      <c r="D8" s="32">
        <v>45</v>
      </c>
      <c r="E8" s="33" t="s">
        <v>14</v>
      </c>
      <c r="F8" s="23" t="s">
        <v>32</v>
      </c>
      <c r="G8" s="39"/>
      <c r="M8" t="s">
        <v>13</v>
      </c>
      <c r="N8">
        <v>1</v>
      </c>
      <c r="O8">
        <v>0</v>
      </c>
    </row>
    <row r="9" spans="1:15" x14ac:dyDescent="0.25">
      <c r="A9" s="63" t="str">
        <f>IF(ISBLANK(B9),"",_xlfn.ISOWEEKNUM('Journal de travail'!$B9))</f>
        <v/>
      </c>
      <c r="B9" s="34"/>
      <c r="C9" s="35"/>
      <c r="D9" s="36">
        <v>30</v>
      </c>
      <c r="E9" s="37" t="s">
        <v>13</v>
      </c>
      <c r="F9" s="23" t="s">
        <v>33</v>
      </c>
      <c r="G9" s="40"/>
      <c r="M9" t="s">
        <v>14</v>
      </c>
      <c r="N9">
        <v>2</v>
      </c>
      <c r="O9">
        <v>5</v>
      </c>
    </row>
    <row r="10" spans="1:15" x14ac:dyDescent="0.25">
      <c r="A10" s="62" t="str">
        <f>IF(ISBLANK(B10),"",_xlfn.ISOWEEKNUM('Journal de travail'!$B10))</f>
        <v/>
      </c>
      <c r="B10" s="30"/>
      <c r="C10" s="31"/>
      <c r="D10" s="32"/>
      <c r="E10" s="33"/>
      <c r="F10" s="23"/>
      <c r="G10" s="39"/>
      <c r="M10" t="s">
        <v>15</v>
      </c>
      <c r="N10">
        <v>3</v>
      </c>
      <c r="O10">
        <v>10</v>
      </c>
    </row>
    <row r="11" spans="1:15" x14ac:dyDescent="0.25">
      <c r="A11" s="63" t="str">
        <f>IF(ISBLANK(B11),"",_xlfn.ISOWEEKNUM('Journal de travail'!$B11))</f>
        <v/>
      </c>
      <c r="B11" s="34"/>
      <c r="C11" s="35"/>
      <c r="D11" s="36"/>
      <c r="E11" s="37"/>
      <c r="F11" s="23"/>
      <c r="G11" s="40"/>
      <c r="M11" t="s">
        <v>16</v>
      </c>
      <c r="N11">
        <v>4</v>
      </c>
      <c r="O11">
        <v>15</v>
      </c>
    </row>
    <row r="12" spans="1:15" x14ac:dyDescent="0.25">
      <c r="A12" s="62" t="str">
        <f>IF(ISBLANK(B12),"",_xlfn.ISOWEEKNUM('Journal de travail'!$B12))</f>
        <v/>
      </c>
      <c r="B12" s="30"/>
      <c r="C12" s="31"/>
      <c r="D12" s="32"/>
      <c r="E12" s="33"/>
      <c r="F12" s="23"/>
      <c r="G12" s="39"/>
      <c r="M12" t="s">
        <v>17</v>
      </c>
      <c r="N12">
        <v>5</v>
      </c>
      <c r="O12">
        <v>20</v>
      </c>
    </row>
    <row r="13" spans="1:15" x14ac:dyDescent="0.25">
      <c r="A13" s="63" t="str">
        <f>IF(ISBLANK(B13),"",_xlfn.ISOWEEKNUM('Journal de travail'!$B13))</f>
        <v/>
      </c>
      <c r="B13" s="34"/>
      <c r="C13" s="35"/>
      <c r="D13" s="36"/>
      <c r="E13" s="37"/>
      <c r="F13" s="23"/>
      <c r="G13" s="40"/>
      <c r="N13">
        <v>6</v>
      </c>
      <c r="O13">
        <v>25</v>
      </c>
    </row>
    <row r="14" spans="1:15" x14ac:dyDescent="0.25">
      <c r="A14" s="62" t="str">
        <f>IF(ISBLANK(B14),"",_xlfn.ISOWEEKNUM('Journal de travail'!$B14))</f>
        <v/>
      </c>
      <c r="B14" s="30"/>
      <c r="C14" s="31"/>
      <c r="D14" s="32"/>
      <c r="E14" s="33"/>
      <c r="F14" s="23"/>
      <c r="G14" s="39"/>
      <c r="N14">
        <v>7</v>
      </c>
      <c r="O14">
        <v>30</v>
      </c>
    </row>
    <row r="15" spans="1:15" x14ac:dyDescent="0.25">
      <c r="A15" s="63" t="str">
        <f>IF(ISBLANK(B15),"",_xlfn.ISOWEEKNUM('Journal de travail'!$B15))</f>
        <v/>
      </c>
      <c r="B15" s="34"/>
      <c r="C15" s="35"/>
      <c r="D15" s="36"/>
      <c r="E15" s="37"/>
      <c r="F15" s="23"/>
      <c r="G15" s="40"/>
      <c r="N15">
        <v>8</v>
      </c>
      <c r="O15">
        <v>35</v>
      </c>
    </row>
    <row r="16" spans="1:15" x14ac:dyDescent="0.25">
      <c r="A16" s="62" t="str">
        <f>IF(ISBLANK(B16),"",_xlfn.ISOWEEKNUM('Journal de travail'!$B16))</f>
        <v/>
      </c>
      <c r="B16" s="30"/>
      <c r="C16" s="31"/>
      <c r="D16" s="32"/>
      <c r="E16" s="33"/>
      <c r="F16" s="23"/>
      <c r="G16" s="39"/>
      <c r="O16">
        <v>40</v>
      </c>
    </row>
    <row r="17" spans="1:15" x14ac:dyDescent="0.25">
      <c r="A17" s="63" t="str">
        <f>IF(ISBLANK(B17),"",_xlfn.ISOWEEKNUM('Journal de travail'!$B17))</f>
        <v/>
      </c>
      <c r="B17" s="34"/>
      <c r="C17" s="35"/>
      <c r="D17" s="36"/>
      <c r="E17" s="37"/>
      <c r="F17" s="23"/>
      <c r="G17" s="40"/>
      <c r="O17">
        <v>45</v>
      </c>
    </row>
    <row r="18" spans="1:15" x14ac:dyDescent="0.25">
      <c r="A18" s="62" t="str">
        <f>IF(ISBLANK(B18),"",_xlfn.ISOWEEKNUM('Journal de travail'!$B18))</f>
        <v/>
      </c>
      <c r="B18" s="30"/>
      <c r="C18" s="31"/>
      <c r="D18" s="32"/>
      <c r="E18" s="33"/>
      <c r="F18" s="23"/>
      <c r="G18" s="39"/>
      <c r="O18">
        <v>50</v>
      </c>
    </row>
    <row r="19" spans="1:15" x14ac:dyDescent="0.25">
      <c r="A19" s="63" t="str">
        <f>IF(ISBLANK(B19),"",_xlfn.ISOWEEKNUM('Journal de travail'!$B19))</f>
        <v/>
      </c>
      <c r="B19" s="34"/>
      <c r="C19" s="35"/>
      <c r="D19" s="36"/>
      <c r="E19" s="37"/>
      <c r="F19" s="23"/>
      <c r="G19" s="40"/>
      <c r="O19">
        <v>55</v>
      </c>
    </row>
    <row r="20" spans="1:15" x14ac:dyDescent="0.25">
      <c r="A20" s="62" t="str">
        <f>IF(ISBLANK(B20),"",_xlfn.ISOWEEKNUM('Journal de travail'!$B20))</f>
        <v/>
      </c>
      <c r="B20" s="30"/>
      <c r="C20" s="31"/>
      <c r="D20" s="32"/>
      <c r="E20" s="33"/>
      <c r="F20" s="23"/>
      <c r="G20" s="39"/>
    </row>
    <row r="21" spans="1:15" x14ac:dyDescent="0.25">
      <c r="A21" s="63" t="str">
        <f>IF(ISBLANK(B21),"",_xlfn.ISOWEEKNUM('Journal de travail'!$B21))</f>
        <v/>
      </c>
      <c r="B21" s="34"/>
      <c r="C21" s="35"/>
      <c r="D21" s="36"/>
      <c r="E21" s="37"/>
      <c r="F21" s="23"/>
      <c r="G21" s="40"/>
    </row>
    <row r="22" spans="1:15" x14ac:dyDescent="0.25">
      <c r="A22" s="62" t="str">
        <f>IF(ISBLANK(B22),"",_xlfn.ISOWEEKNUM('Journal de travail'!$B22))</f>
        <v/>
      </c>
      <c r="B22" s="30"/>
      <c r="C22" s="31"/>
      <c r="D22" s="32"/>
      <c r="E22" s="33"/>
      <c r="F22" s="23"/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6"/>
      <c r="E23" s="37"/>
      <c r="F23" s="23"/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18</v>
      </c>
      <c r="F2" s="68">
        <v>90</v>
      </c>
      <c r="G2" s="66" t="s">
        <v>19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20</v>
      </c>
      <c r="L4" s="66" t="s">
        <v>21</v>
      </c>
      <c r="M4" s="41"/>
      <c r="N4" s="19"/>
    </row>
    <row r="5" spans="1:14" x14ac:dyDescent="0.3">
      <c r="A5" t="s">
        <v>22</v>
      </c>
      <c r="B5" t="s">
        <v>23</v>
      </c>
      <c r="C5" s="41" t="s">
        <v>24</v>
      </c>
      <c r="D5" s="42"/>
      <c r="E5" s="45" t="s">
        <v>25</v>
      </c>
      <c r="F5" s="46" t="s">
        <v>26</v>
      </c>
      <c r="G5" s="47" t="s">
        <v>27</v>
      </c>
      <c r="L5" s="48" t="s">
        <v>25</v>
      </c>
      <c r="M5" s="49" t="s">
        <v>26</v>
      </c>
      <c r="N5" s="50" t="s">
        <v>27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30</v>
      </c>
      <c r="C6">
        <f t="shared" ref="C6:C10" si="0">SUM(A6:B6)</f>
        <v>30</v>
      </c>
      <c r="E6" s="70" t="str">
        <f>'Journal de travail'!M8</f>
        <v>Analyse</v>
      </c>
      <c r="F6" s="71" t="str">
        <f>QUOTIENT(SUM(A6:B6),60)&amp;" h "&amp;TEXT(MOD(SUM(A6:B6),60), "00")&amp;" min"</f>
        <v>0 h 30 min</v>
      </c>
      <c r="G6" s="72">
        <f>SUM(A6:B6)/$C$11</f>
        <v>0.13333333333333333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60</v>
      </c>
      <c r="B7">
        <f>SUMIF('Journal de travail'!$E$7:$E$532,Plannification!E7,'Journal de travail'!$D$7:$D$532)</f>
        <v>45</v>
      </c>
      <c r="C7">
        <f t="shared" si="0"/>
        <v>105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 h 45 min</v>
      </c>
      <c r="G7" s="75">
        <f t="shared" ref="G7:G9" si="2">SUM(A7:B7)/$C$11</f>
        <v>0.46666666666666667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60</v>
      </c>
      <c r="B9">
        <f>SUMIF('Journal de travail'!$E$7:$E$532,Plannification!E9,'Journal de travail'!$D$7:$D$532)</f>
        <v>30</v>
      </c>
      <c r="C9">
        <f t="shared" si="0"/>
        <v>90</v>
      </c>
      <c r="E9" s="77" t="str">
        <f>'Journal de travail'!M11</f>
        <v>Documentation</v>
      </c>
      <c r="F9" s="74" t="str">
        <f t="shared" si="1"/>
        <v>1 h 30 min</v>
      </c>
      <c r="G9" s="75">
        <f t="shared" si="2"/>
        <v>0.4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17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17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120</v>
      </c>
      <c r="B11">
        <f>SUM(B6:B10)</f>
        <v>105</v>
      </c>
      <c r="C11">
        <f>SUM(A11:B11)</f>
        <v>225</v>
      </c>
      <c r="E11" s="81" t="s">
        <v>28</v>
      </c>
      <c r="F11" s="71" t="str">
        <f t="shared" si="1"/>
        <v>3 h 45 min</v>
      </c>
      <c r="G11" s="82">
        <f>C11/C12</f>
        <v>4.1666666666666664E-2</v>
      </c>
      <c r="L11" s="56" t="s">
        <v>28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2fafb7-d8e0-4a14-bee3-33aad5c71309" xsi:nil="true"/>
    <lcf76f155ced4ddcb4097134ff3c332f xmlns="f20a0681-8b2f-4a46-9dab-cf1520193f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5bf905bc6027d3a3176cf398b6d748a7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cdc8923a5f0a5cb2ad217e59a32ed26c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325519-8edb-4b5c-9516-304f082e19e7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932fafb7-d8e0-4a14-bee3-33aad5c71309"/>
    <ds:schemaRef ds:uri="f20a0681-8b2f-4a46-9dab-cf1520193f81"/>
  </ds:schemaRefs>
</ds:datastoreItem>
</file>

<file path=customXml/itemProps2.xml><?xml version="1.0" encoding="utf-8"?>
<ds:datastoreItem xmlns:ds="http://schemas.openxmlformats.org/officeDocument/2006/customXml" ds:itemID="{EB23EBB1-226D-48F9-BD4F-72DBF2899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Thomas Reynaud</cp:lastModifiedBy>
  <cp:revision/>
  <dcterms:created xsi:type="dcterms:W3CDTF">2023-11-21T20:00:34Z</dcterms:created>
  <dcterms:modified xsi:type="dcterms:W3CDTF">2026-04-28T15:24:22Z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