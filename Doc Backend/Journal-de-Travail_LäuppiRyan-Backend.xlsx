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33xxl\Documents\GitHub\Passion-Lecture\Doc Backend\"/>
    </mc:Choice>
  </mc:AlternateContent>
  <xr:revisionPtr revIDLastSave="0" documentId="13_ncr:1_{2480DE7B-898D-4283-8CA9-7C556855E677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<sst xmlns="http://schemas.openxmlformats.org/spreadsheetml/2006/main" count="52" uniqueCount="39">
  <si>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</si>
  <si>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</si>
  <si>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</si>
  <si>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</si>
  <si>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</si>
  <si>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</si>
  <si>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</si>
  <si>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</si>
  <si>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</si>
  <si>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</si>
  <si>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</si>
  <si>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</si>
  <si>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</si>
  <si>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</si>
  <si>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</si>
  <si>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</si>
  <si>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</si>
  <si>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</si>
  <si>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</si>
  <si>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</si>
  <si>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</si>
  <si>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</si>
  <si>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</si>
  <si>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</si>
  <si>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</si>
  <si>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</si>
  <si>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</si>
  <si>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</si>
  <si>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</si>
  <si>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Projet API rest passion lecture</t>
  </si>
  <si>
    <t>Läuppi Ryan</t>
  </si>
  <si>
    <t>J'ai perdu mon JDT le 5 mai</t>
  </si>
  <si>
    <t>J'ai fait tout les seeders</t>
  </si>
  <si>
    <t>J'avais des problèmes de merge avec GitHub</t>
  </si>
  <si>
    <t>M.Charmier à résolu les problèmes liés au merge</t>
  </si>
  <si>
    <t>J'ai cherché mon JDT car il avait disparu</t>
  </si>
  <si>
    <t>M.Charmier m'a aidé à chercher le JDT mais il à vraiment disparu</t>
  </si>
  <si>
    <t>J'ai changé seeders pour qu'il n'y ait plus d'erreurs et que les données soient en database</t>
  </si>
  <si>
    <t>J'ai commencé le comment 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</si>
</sst>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75</c:v>
                </c:pt>
                <c:pt idx="1">
                  <c:v>160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0.31914893617021278</c:v>
                </c:pt>
                <c:pt idx="1">
                  <c:v>0.68085106382978722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3 heures 55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175</v>
      </c>
      <c r="E4" s="24">
        <f>SUM(C4:D4)</f>
        <v>235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19</v>
      </c>
      <c r="B7" s="26">
        <v>46147</v>
      </c>
      <c r="C7" s="27"/>
      <c r="D7" s="28"/>
      <c r="E7" s="29"/>
      <c r="F7" s="23" t="s">
        <v>31</v>
      </c>
      <c r="G7" s="38"/>
    </row>
    <row r="8" spans="1:15" x14ac:dyDescent="0.25">
      <c r="A8" s="62">
        <f>IF(ISBLANK(B8),"",_xlfn.ISOWEEKNUM('Journal de travail'!$B8))</f>
        <v>19</v>
      </c>
      <c r="B8" s="30">
        <v>46147</v>
      </c>
      <c r="C8" s="31">
        <v>1</v>
      </c>
      <c r="D8" s="32">
        <v>30</v>
      </c>
      <c r="E8" s="33" t="s">
        <v>14</v>
      </c>
      <c r="F8" s="23" t="s">
        <v>32</v>
      </c>
      <c r="G8" s="39"/>
      <c r="M8" t="s">
        <v>13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19</v>
      </c>
      <c r="B9" s="34">
        <v>46147</v>
      </c>
      <c r="C9" s="35"/>
      <c r="D9" s="36">
        <v>30</v>
      </c>
      <c r="E9" s="37" t="s">
        <v>13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19</v>
      </c>
      <c r="B10" s="30">
        <v>46147</v>
      </c>
      <c r="C10" s="31"/>
      <c r="D10" s="32">
        <v>20</v>
      </c>
      <c r="E10" s="33" t="s">
        <v>13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19</v>
      </c>
      <c r="B11" s="34">
        <v>46147</v>
      </c>
      <c r="C11" s="35"/>
      <c r="D11" s="36">
        <v>10</v>
      </c>
      <c r="E11" s="37" t="s">
        <v>13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19</v>
      </c>
      <c r="B12" s="30">
        <v>46147</v>
      </c>
      <c r="C12" s="31"/>
      <c r="D12" s="32">
        <v>15</v>
      </c>
      <c r="E12" s="33" t="s">
        <v>13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46147</v>
      </c>
      <c r="C13" s="35"/>
      <c r="D13" s="36">
        <v>40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19</v>
      </c>
      <c r="B14" s="30">
        <v>46147</v>
      </c>
      <c r="C14" s="31"/>
      <c r="D14" s="32">
        <v>30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75</v>
      </c>
      <c r="C6">
        <f t="shared" ref="C6:C10" si="0">SUM(A6:B6)</f>
        <v>75</v>
      </c>
      <c r="E6" s="70" t="str">
        <f>'Journal de travail'!M8</f>
        <v>Analyse</v>
      </c>
      <c r="F6" s="71" t="str">
        <f>QUOTIENT(SUM(A6:B6),60)&amp;" h "&amp;TEXT(MOD(SUM(A6:B6),60), "00")&amp;" min"</f>
        <v>1 h 15 min</v>
      </c>
      <c r="G6" s="72">
        <f>SUM(A6:B6)/$C$11</f>
        <v>0.31914893617021278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100</v>
      </c>
      <c r="C7">
        <f t="shared" si="0"/>
        <v>160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40 min</v>
      </c>
      <c r="G7" s="75">
        <f t="shared" ref="G7:G9" si="2">SUM(A7:B7)/$C$11</f>
        <v>0.68085106382978722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175</v>
      </c>
      <c r="C11">
        <f>SUM(A11:B11)</f>
        <v>235</v>
      </c>
      <c r="E11" s="81" t="s">
        <v>28</v>
      </c>
      <c r="F11" s="71" t="str">
        <f t="shared" si="1"/>
        <v>3 h 55 min</v>
      </c>
      <c r="G11" s="82">
        <f>C11/C12</f>
        <v>4.3518518518518519E-2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Ryan Läuppi</cp:lastModifiedBy>
  <cp:revision/>
  <dcterms:created xsi:type="dcterms:W3CDTF">2023-11-21T20:00:34Z</dcterms:created>
  <dcterms:modified xsi:type="dcterms:W3CDTF">2026-05-05T15:24:59Z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